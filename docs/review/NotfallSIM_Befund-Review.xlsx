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Übersicht" sheetId="2" state="visible" r:id="rId4"/>
    <sheet name="Befunde" sheetId="3" state="visible" r:id="rId5"/>
  </sheets>
  <definedNames>
    <definedName function="false" hidden="true" localSheetId="2" name="_xlnm._FilterDatabase" vbProcedure="false">Befunde!$A$1:$M$165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<sst xmlns="http://schemas.openxmlformats.org/spreadsheetml/2006/main" count="1043" uniqueCount="492">
  <si>
    <t xml:space="preserve">NotfallSIM – Review der Befundtexte</t>
  </si>
  <si>
    <t xml:space="preserve">Stand: Datenbank Verletzungen v0.8.0, Normalbefunde v0.1.0, Bildgebung v0.1.0, Differenzialdiagnosen v0.1.0 · erstellt 27.10.2026</t>
  </si>
  <si>
    <t xml:space="preserve">Ziel</t>
  </si>
  <si>
    <t xml:space="preserve">Alle Texte, die das Spiel als Untersuchungs- oder Bildgebungsbefund zeigt, sowie die Gegenargumente bei falschen Verdachtsdiagnosen. Bitte prüfen: medizinisch korrekt? klinisch typisch formuliert? Bedingung (wann der Befund erscheint) plausibel?</t>
  </si>
  <si>
    <t xml:space="preserve">So geht's</t>
  </si>
  <si>
    <t xml:space="preserve">1. Blatt „Befunde“ öffnen. Nur die gelben Spalten ausfüllen (H–I für Prüfer 1, J–K für Prüfer 2, L für Quellen/Kommentare). Alle anderen Spalten bitte nicht ändern – Spalte G ist der Verweis, über den die Korrektur zurück in die Daten kommt.</t>
  </si>
  <si>
    <t xml:space="preserve">2. Bewertung per Auswahlliste: passt · ändern · streichen · unklar.</t>
  </si>
  <si>
    <t xml:space="preserve">3. Bei „ändern“ den gewünschten Text oder die gewünschte Bedingung in die Vorschlagsspalte schreiben.</t>
  </si>
  <si>
    <t xml:space="preserve">4. Fehlt ein typischer Befund? Unten im Blatt eine neue Zeile anlegen, Kategorie und Verletzung eintragen, Spalte G leer lassen.</t>
  </si>
  <si>
    <t xml:space="preserve">5. Datei zurück in den Chat hängen – die Änderungen werden in die Datenbank übernommen.</t>
  </si>
  <si>
    <t xml:space="preserve">Begriffe</t>
  </si>
  <si>
    <t xml:space="preserve">Schwere 0–1: Modellgröße der Verletzung (Spannungspneu: Druck; SHT: Raumforderung, ab 0,7 Herniation). Dynamische Befunde erscheinen nur unter der angegebenen Bedingung.</t>
  </si>
  <si>
    <t xml:space="preserve">Status draft: Text bzw. Schwelle ist eine eigene Formulierung bzw. didaktische Setzung und noch nicht geprüft.</t>
  </si>
  <si>
    <t xml:space="preserve">Beispiel (ausgefüllt)</t>
  </si>
  <si>
    <t xml:space="preserve">Kategorie</t>
  </si>
  <si>
    <t xml:space="preserve">Verletzung</t>
  </si>
  <si>
    <t xml:space="preserve">Befundtext</t>
  </si>
  <si>
    <t xml:space="preserve">Bedingung</t>
  </si>
  <si>
    <t xml:space="preserve">Prüfer 1: Bewertung</t>
  </si>
  <si>
    <t xml:space="preserve">Prüfer 1: Vorschlag</t>
  </si>
  <si>
    <t xml:space="preserve">Klinischer Befund (dynamisch)</t>
  </si>
  <si>
    <t xml:space="preserve">Spannungspneumothorax links</t>
  </si>
  <si>
    <t xml:space="preserve">Gestaute Halsvenen</t>
  </si>
  <si>
    <t xml:space="preserve">Schwere 0,5–1; Gesamtblutverlust ≤ 15 %</t>
  </si>
  <si>
    <t xml:space="preserve">ändern</t>
  </si>
  <si>
    <t xml:space="preserve">Halsvenen gestaut (bei Hypovolämie oft fehlend) – Schwelle eher ab 0,4</t>
  </si>
  <si>
    <t xml:space="preserve">Fortschritt</t>
  </si>
  <si>
    <t xml:space="preserve">Bewertung</t>
  </si>
  <si>
    <t xml:space="preserve">Prüfer 1 (Paul)</t>
  </si>
  <si>
    <t xml:space="preserve">Prüfer 2 (Arzt)</t>
  </si>
  <si>
    <t xml:space="preserve">passt</t>
  </si>
  <si>
    <t xml:space="preserve">streichen</t>
  </si>
  <si>
    <t xml:space="preserve">unklar</t>
  </si>
  <si>
    <t xml:space="preserve">offen</t>
  </si>
  <si>
    <t xml:space="preserve">Texte gesamt</t>
  </si>
  <si>
    <t xml:space="preserve">erledigt</t>
  </si>
  <si>
    <t xml:space="preserve">Uneinig (eine:r „passt“, die/der andere nicht)</t>
  </si>
  <si>
    <t xml:space="preserve">Nr</t>
  </si>
  <si>
    <t xml:space="preserve">Verletzung / Diagnose</t>
  </si>
  <si>
    <t xml:space="preserve">Region / Verfahren</t>
  </si>
  <si>
    <t xml:space="preserve">Bedingung (wann sichtbar)</t>
  </si>
  <si>
    <t xml:space="preserve">Verweis (nicht ändern)</t>
  </si>
  <si>
    <t xml:space="preserve">Prüfer 1 (Paul): Bewertung</t>
  </si>
  <si>
    <t xml:space="preserve">Prüfer 2 (Arzt): Bewertung</t>
  </si>
  <si>
    <t xml:space="preserve">Prüfer 2: Vorschlag</t>
  </si>
  <si>
    <t xml:space="preserve">Quelle / Kommentar</t>
  </si>
  <si>
    <t xml:space="preserve">Status</t>
  </si>
  <si>
    <t xml:space="preserve">B-001</t>
  </si>
  <si>
    <t xml:space="preserve">Leberlazeration</t>
  </si>
  <si>
    <t xml:space="preserve">Abdomen</t>
  </si>
  <si>
    <t xml:space="preserve">Druckschmerz im rechten Oberbauch</t>
  </si>
  <si>
    <t xml:space="preserve">bis „Notfall-Laparotomie“ + 15 min</t>
  </si>
  <si>
    <t xml:space="preserve">injuries.json › leberlazeration › dynamicFindings[0]</t>
  </si>
  <si>
    <t xml:space="preserve">draft</t>
  </si>
  <si>
    <t xml:space="preserve">B-002</t>
  </si>
  <si>
    <t xml:space="preserve">Prellmarke am rechten Rippenbogen</t>
  </si>
  <si>
    <t xml:space="preserve">injuries.json › leberlazeration › dynamicFindings[1]</t>
  </si>
  <si>
    <t xml:space="preserve">B-003</t>
  </si>
  <si>
    <t xml:space="preserve">Zunehmende Distension des Abdomens</t>
  </si>
  <si>
    <t xml:space="preserve">ab 800 mL Blutverlust aus dieser Verletzung; bis „Notfall-Laparotomie“ + 15 min</t>
  </si>
  <si>
    <t xml:space="preserve">injuries.json › leberlazeration › dynamicFindings[2]</t>
  </si>
  <si>
    <t xml:space="preserve">B-004</t>
  </si>
  <si>
    <t xml:space="preserve">Z. n. Notfall-Laparotomie mit Leber-Packing (Laparostoma)</t>
  </si>
  <si>
    <t xml:space="preserve">nach „Notfall-Laparotomie“ + 15 min</t>
  </si>
  <si>
    <t xml:space="preserve">injuries.json › leberlazeration › dynamicFindings[3]</t>
  </si>
  <si>
    <t xml:space="preserve">B-005</t>
  </si>
  <si>
    <t xml:space="preserve">Bildgebungsbefund</t>
  </si>
  <si>
    <t xml:space="preserve">Freie Flüssigkeit im Morison-Pouch (hepatorenal) und im kleinen Becken.</t>
  </si>
  <si>
    <t xml:space="preserve">eFAST</t>
  </si>
  <si>
    <t xml:space="preserve">injuries.json › leberlazeration › imaging[0]</t>
  </si>
  <si>
    <t xml:space="preserve">B-006</t>
  </si>
  <si>
    <t xml:space="preserve">Leberlazeration Segment VI/VII (AAST Grad IV) mit Hämatoperitoneum und aktiver Blutung.</t>
  </si>
  <si>
    <t xml:space="preserve">CT Körperstamm</t>
  </si>
  <si>
    <t xml:space="preserve">injuries.json › leberlazeration › imaging[1]</t>
  </si>
  <si>
    <t xml:space="preserve">B-007</t>
  </si>
  <si>
    <t xml:space="preserve">Milzruptur</t>
  </si>
  <si>
    <t xml:space="preserve">Druckschmerz und Abwehrspannung im linken Oberbauch</t>
  </si>
  <si>
    <t xml:space="preserve">injuries.json › milzruptur › dynamicFindings[0]</t>
  </si>
  <si>
    <t xml:space="preserve">B-008</t>
  </si>
  <si>
    <t xml:space="preserve">Prellmarke an der linken Flanke</t>
  </si>
  <si>
    <t xml:space="preserve">injuries.json › milzruptur › dynamicFindings[1]</t>
  </si>
  <si>
    <t xml:space="preserve">B-009</t>
  </si>
  <si>
    <t xml:space="preserve">Schmerzausstrahlung in die linke Schulter (Kehr-Zeichen)</t>
  </si>
  <si>
    <t xml:space="preserve">injuries.json › milzruptur › dynamicFindings[2]</t>
  </si>
  <si>
    <t xml:space="preserve">B-010</t>
  </si>
  <si>
    <t xml:space="preserve">injuries.json › milzruptur › dynamicFindings[3]</t>
  </si>
  <si>
    <t xml:space="preserve">B-011</t>
  </si>
  <si>
    <t xml:space="preserve">Z. n. Notfall-Laparotomie mit Splenektomie, Abdomen mit Tüchern gepackt (Laparostoma)</t>
  </si>
  <si>
    <t xml:space="preserve">injuries.json › milzruptur › dynamicFindings[4]</t>
  </si>
  <si>
    <t xml:space="preserve">B-012</t>
  </si>
  <si>
    <t xml:space="preserve">Freie Flüssigkeit perisplenisch und im kleinen Becken.</t>
  </si>
  <si>
    <t xml:space="preserve">injuries.json › milzruptur › imaging[0]</t>
  </si>
  <si>
    <t xml:space="preserve">B-013</t>
  </si>
  <si>
    <t xml:space="preserve">Milzruptur (AAST Grad IV) mit Kontrastmittelaustritt und ausgedehntem Hämatoperitoneum.</t>
  </si>
  <si>
    <t xml:space="preserve">injuries.json › milzruptur › imaging[1]</t>
  </si>
  <si>
    <t xml:space="preserve">B-014</t>
  </si>
  <si>
    <t xml:space="preserve">Klinischer Befund</t>
  </si>
  <si>
    <t xml:space="preserve">Instabile Beckenringfraktur</t>
  </si>
  <si>
    <t xml:space="preserve">Becken</t>
  </si>
  <si>
    <t xml:space="preserve">Prellmarken bzw. Hämatom an Flanke, Leiste oder Perineum</t>
  </si>
  <si>
    <t xml:space="preserve">immer (ab Beginn der Verletzung)</t>
  </si>
  <si>
    <t xml:space="preserve">injuries.json › becken_instabil › clinicalFindings[0]</t>
  </si>
  <si>
    <t xml:space="preserve">B-015</t>
  </si>
  <si>
    <t xml:space="preserve">Beinlängendifferenz und Außenrotation</t>
  </si>
  <si>
    <t xml:space="preserve">injuries.json › becken_instabil › clinicalFindings[1]</t>
  </si>
  <si>
    <t xml:space="preserve">B-016</t>
  </si>
  <si>
    <t xml:space="preserve">Ggf. Blut am Meatus urethrae</t>
  </si>
  <si>
    <t xml:space="preserve">injuries.json › becken_instabil › clinicalFindings[2]</t>
  </si>
  <si>
    <t xml:space="preserve">B-017</t>
  </si>
  <si>
    <t xml:space="preserve">Instabilität bei vorsichtiger Beckenkompression (nur einmal prüfen)</t>
  </si>
  <si>
    <t xml:space="preserve">bis „Beckengurt anlegen“</t>
  </si>
  <si>
    <t xml:space="preserve">injuries.json › becken_instabil › dynamicFindings[0]</t>
  </si>
  <si>
    <t xml:space="preserve">B-018</t>
  </si>
  <si>
    <t xml:space="preserve">Beckengurt sitzt auf Höhe der Trochanteren, Becken nicht erneut auf Stabilität prüfen</t>
  </si>
  <si>
    <t xml:space="preserve">nach „Beckengurt anlegen“</t>
  </si>
  <si>
    <t xml:space="preserve">injuries.json › becken_instabil › dynamicFindings[1]</t>
  </si>
  <si>
    <t xml:space="preserve">B-019</t>
  </si>
  <si>
    <t xml:space="preserve">Zunehmendes Skrotal- bzw. Perinealhämatom</t>
  </si>
  <si>
    <t xml:space="preserve">ab 1000 mL Blutverlust aus dieser Verletzung</t>
  </si>
  <si>
    <t xml:space="preserve">injuries.json › becken_instabil › dynamicFindings[2]</t>
  </si>
  <si>
    <t xml:space="preserve">B-020</t>
  </si>
  <si>
    <t xml:space="preserve">Z. n. Angioembolisation bzw. operativer Beckenstabilisierung</t>
  </si>
  <si>
    <t xml:space="preserve">nach „Angioembolisation / Not-OP“ + 20 min</t>
  </si>
  <si>
    <t xml:space="preserve">injuries.json › becken_instabil › dynamicFindings[3]</t>
  </si>
  <si>
    <t xml:space="preserve">B-021</t>
  </si>
  <si>
    <t xml:space="preserve">Keine freie Flüssigkeit intraperitoneal. Retroperitoneale Blutung sonographisch nicht sicher beurteilbar.</t>
  </si>
  <si>
    <t xml:space="preserve">injuries.json › becken_instabil › imaging[0]</t>
  </si>
  <si>
    <t xml:space="preserve">B-022</t>
  </si>
  <si>
    <t xml:space="preserve">Instabile Beckenringverletzung: Symphysensprengung mit Diastase über 2,5 cm, Fraktur des Os sacrum rechts.</t>
  </si>
  <si>
    <t xml:space="preserve">Röntgen Becken</t>
  </si>
  <si>
    <t xml:space="preserve">injuries.json › becken_instabil › imaging[1]</t>
  </si>
  <si>
    <t xml:space="preserve">B-023</t>
  </si>
  <si>
    <t xml:space="preserve">Bildgebungsbefund (nach Therapie)</t>
  </si>
  <si>
    <t xml:space="preserve">Beckengurt in situ, Symphyse reponiert; Sakrumfraktur rechts weiter abgrenzbar.</t>
  </si>
  <si>
    <t xml:space="preserve">Röntgen Becken, nach „Angioembolisation / Not-OP / Beckengurt anlegen“</t>
  </si>
  <si>
    <t xml:space="preserve">injuries.json › becken_instabil › imaging[1].resolvedFinding</t>
  </si>
  <si>
    <t xml:space="preserve">B-024</t>
  </si>
  <si>
    <t xml:space="preserve">Instabile Beckenringfraktur (Typ C) mit großem präsakralem und retroperitonealem Hämatom; Kontrastmittelaustritt aus einem Ast der A. iliaca interna rechts (aktive arterielle Blutung).</t>
  </si>
  <si>
    <t xml:space="preserve">injuries.json › becken_instabil › imaging[2]</t>
  </si>
  <si>
    <t xml:space="preserve">B-025</t>
  </si>
  <si>
    <t xml:space="preserve">Akutes Subduralhämatom links mit Kontusionen</t>
  </si>
  <si>
    <t xml:space="preserve">Kopf</t>
  </si>
  <si>
    <t xml:space="preserve">Kopfplatzwunde frontal links</t>
  </si>
  <si>
    <t xml:space="preserve">injuries.json › sdh_akut_links › clinicalFindings[0]</t>
  </si>
  <si>
    <t xml:space="preserve">B-026</t>
  </si>
  <si>
    <t xml:space="preserve">Von Beginn an eingetrübt, reagiert verzögert auf Ansprache</t>
  </si>
  <si>
    <t xml:space="preserve">injuries.json › sdh_akut_links › clinicalFindings[1]</t>
  </si>
  <si>
    <t xml:space="preserve">B-027</t>
  </si>
  <si>
    <t xml:space="preserve">Keine Erinnerung an den Unfall, wiederholte Fragen</t>
  </si>
  <si>
    <t xml:space="preserve">injuries.json › sdh_akut_links › clinicalFindings[2]</t>
  </si>
  <si>
    <t xml:space="preserve">B-028</t>
  </si>
  <si>
    <t xml:space="preserve">Z. n. Notfall-Kraniotomie links, Hämatom entlastet</t>
  </si>
  <si>
    <t xml:space="preserve">nach „Neurochirurgie: Kraniotomie“ + 10 min</t>
  </si>
  <si>
    <t xml:space="preserve">injuries.json › sdh_akut_links › dynamicFindings[0]</t>
  </si>
  <si>
    <t xml:space="preserve">B-029</t>
  </si>
  <si>
    <t xml:space="preserve">Akutes Subduralhämatom links frontotemporoparietal (sichelförmig, ca. 12 mm) mit Mittellinienverlagerung von 6 mm nach rechts; kleine Kontusionsblutungen frontal links.</t>
  </si>
  <si>
    <t xml:space="preserve">CCT</t>
  </si>
  <si>
    <t xml:space="preserve">injuries.json › sdh_akut_links › imaging[0]</t>
  </si>
  <si>
    <t xml:space="preserve">B-030</t>
  </si>
  <si>
    <t xml:space="preserve">Zustand nach Kraniotomie links und Hämatomausräumung; Mittellinie nahezu zentriert, Kontusionen frontal links unverändert.</t>
  </si>
  <si>
    <t xml:space="preserve">CCT, nach „effect:NeurosurgicalDecompression“</t>
  </si>
  <si>
    <t xml:space="preserve">injuries.json › sdh_akut_links › imaging[0].resolvedFinding</t>
  </si>
  <si>
    <t xml:space="preserve">B-031</t>
  </si>
  <si>
    <t xml:space="preserve">Epiduralhämatom rechts temporal</t>
  </si>
  <si>
    <t xml:space="preserve">Prellmarke und Schwellung temporal rechts</t>
  </si>
  <si>
    <t xml:space="preserve">injuries.json › epiduralhaematom_rechts › clinicalFindings[0]</t>
  </si>
  <si>
    <t xml:space="preserve">B-032</t>
  </si>
  <si>
    <t xml:space="preserve">Laut Zeugen kurz bewusstlos, danach wach (luzides Intervall)</t>
  </si>
  <si>
    <t xml:space="preserve">injuries.json › epiduralhaematom_rechts › clinicalFindings[1]</t>
  </si>
  <si>
    <t xml:space="preserve">B-033</t>
  </si>
  <si>
    <t xml:space="preserve">Kopfschmerzen, Übelkeit, Amnesie für das Ereignis</t>
  </si>
  <si>
    <t xml:space="preserve">injuries.json › epiduralhaematom_rechts › clinicalFindings[2]</t>
  </si>
  <si>
    <t xml:space="preserve">B-034</t>
  </si>
  <si>
    <t xml:space="preserve">Zunehmende Unruhe und Erbrechen</t>
  </si>
  <si>
    <t xml:space="preserve">Schwere 0,4–1 (0–1); bis „Neurochirurgie: Kraniotomie“</t>
  </si>
  <si>
    <t xml:space="preserve">injuries.json › epiduralhaematom_rechts › dynamicFindings[0]</t>
  </si>
  <si>
    <t xml:space="preserve">B-035</t>
  </si>
  <si>
    <t xml:space="preserve">Z. n. Notfall-Kraniotomie rechts, Hämatom entlastet</t>
  </si>
  <si>
    <t xml:space="preserve">injuries.json › epiduralhaematom_rechts › dynamicFindings[1]</t>
  </si>
  <si>
    <t xml:space="preserve">B-036</t>
  </si>
  <si>
    <t xml:space="preserve">Bikonvexe hyperdense Raumforderung temporal rechts (Epiduralhämatom) mit Mittellinienverlagerung nach links; Kalottenfraktur temporal rechts.</t>
  </si>
  <si>
    <t xml:space="preserve">injuries.json › epiduralhaematom_rechts › imaging[0]</t>
  </si>
  <si>
    <t xml:space="preserve">B-037</t>
  </si>
  <si>
    <t xml:space="preserve">Zustand nach Kraniotomie und Hämatomausräumung temporal rechts, Mittellinie zentriert.</t>
  </si>
  <si>
    <t xml:space="preserve">injuries.json › epiduralhaematom_rechts › imaging[0].resolvedFinding</t>
  </si>
  <si>
    <t xml:space="preserve">B-038</t>
  </si>
  <si>
    <t xml:space="preserve">Geschlossene Femurschaftfraktur rechts</t>
  </si>
  <si>
    <t xml:space="preserve">Oberschenkel rechts</t>
  </si>
  <si>
    <t xml:space="preserve">Fehlstellung und Verkürzung des rechten Oberschenkels</t>
  </si>
  <si>
    <t xml:space="preserve">injuries.json › femur_schaft_rechts › clinicalFindings[0]</t>
  </si>
  <si>
    <t xml:space="preserve">B-039</t>
  </si>
  <si>
    <t xml:space="preserve">Starker Bewegungsschmerz, ggf. Krepitation</t>
  </si>
  <si>
    <t xml:space="preserve">injuries.json › femur_schaft_rechts › clinicalFindings[1]</t>
  </si>
  <si>
    <t xml:space="preserve">B-040</t>
  </si>
  <si>
    <t xml:space="preserve">Durchblutung, Motorik und Sensibilität distal prüfen</t>
  </si>
  <si>
    <t xml:space="preserve">injuries.json › femur_schaft_rechts › clinicalFindings[2]</t>
  </si>
  <si>
    <t xml:space="preserve">B-041</t>
  </si>
  <si>
    <t xml:space="preserve">Oberschenkel rechts deutlich geschwollen und gespannt</t>
  </si>
  <si>
    <t xml:space="preserve">ab 400 mL Blutverlust aus dieser Verletzung</t>
  </si>
  <si>
    <t xml:space="preserve">injuries.json › femur_schaft_rechts › dynamicFindings[0]</t>
  </si>
  <si>
    <t xml:space="preserve">B-042</t>
  </si>
  <si>
    <t xml:space="preserve">Bein in Extensionsschiene, Länge weitgehend wiederhergestellt</t>
  </si>
  <si>
    <t xml:space="preserve">nach „Femur: Extension/Schiene“</t>
  </si>
  <si>
    <t xml:space="preserve">injuries.json › femur_schaft_rechts › dynamicFindings[1]</t>
  </si>
  <si>
    <t xml:space="preserve">B-043</t>
  </si>
  <si>
    <t xml:space="preserve">Dislozierte Femurschaftfraktur rechts mit ausgedehntem Weichteilhämatom des Oberschenkels.</t>
  </si>
  <si>
    <t xml:space="preserve">injuries.json › femur_schaft_rechts › imaging[0]</t>
  </si>
  <si>
    <t xml:space="preserve">B-044</t>
  </si>
  <si>
    <t xml:space="preserve">Rippenserienfraktur links (Rippen 4–7)</t>
  </si>
  <si>
    <t xml:space="preserve">Thorax</t>
  </si>
  <si>
    <t xml:space="preserve">Druckschmerz und Krepitation über den Rippen 4–7 links</t>
  </si>
  <si>
    <t xml:space="preserve">injuries.json › rippenserienfraktur_links › clinicalFindings[0]</t>
  </si>
  <si>
    <t xml:space="preserve">B-045</t>
  </si>
  <si>
    <t xml:space="preserve">Prellmarke an der linken Thoraxwand</t>
  </si>
  <si>
    <t xml:space="preserve">injuries.json › rippenserienfraktur_links › clinicalFindings[1]</t>
  </si>
  <si>
    <t xml:space="preserve">B-046</t>
  </si>
  <si>
    <t xml:space="preserve">Schmerzbedingt flache Atmung</t>
  </si>
  <si>
    <t xml:space="preserve">injuries.json › rippenserienfraktur_links › clinicalFindings[2]</t>
  </si>
  <si>
    <t xml:space="preserve">B-047</t>
  </si>
  <si>
    <t xml:space="preserve">Frakturen der Rippen 4–7 links lateral.</t>
  </si>
  <si>
    <t xml:space="preserve">Röntgen Thorax</t>
  </si>
  <si>
    <t xml:space="preserve">injuries.json › rippenserienfraktur_links › imaging[0]</t>
  </si>
  <si>
    <t xml:space="preserve">B-048</t>
  </si>
  <si>
    <t xml:space="preserve">Rippenserienfraktur links 4–7 mit Lungenkontusion im linken Oberlappen.</t>
  </si>
  <si>
    <t xml:space="preserve">injuries.json › rippenserienfraktur_links › imaging[1]</t>
  </si>
  <si>
    <t xml:space="preserve">B-049</t>
  </si>
  <si>
    <t xml:space="preserve">Abgeschwächtes bis fehlendes Atemgeräusch links</t>
  </si>
  <si>
    <t xml:space="preserve">bis „Thoraxdrainage li.“</t>
  </si>
  <si>
    <t xml:space="preserve">injuries.json › spannungspneu_links › dynamicFindings[0]</t>
  </si>
  <si>
    <t xml:space="preserve">B-050</t>
  </si>
  <si>
    <t xml:space="preserve">Hypersonorer Klopfschall links</t>
  </si>
  <si>
    <t xml:space="preserve">injuries.json › spannungspneu_links › dynamicFindings[1]</t>
  </si>
  <si>
    <t xml:space="preserve">B-051</t>
  </si>
  <si>
    <t xml:space="preserve">Zunehmende Dyspnoe und Tachypnoe, Patient unruhig</t>
  </si>
  <si>
    <t xml:space="preserve">Schwere 0,2–1 (0–1); bis „Thoraxdrainage li.“</t>
  </si>
  <si>
    <t xml:space="preserve">injuries.json › spannungspneu_links › dynamicFindings[2]</t>
  </si>
  <si>
    <t xml:space="preserve">B-052</t>
  </si>
  <si>
    <t xml:space="preserve">Schwere 0,5–1 (0–1); Gesamtblutverlust ≤ 15 %; bis „Thoraxdrainage li.“</t>
  </si>
  <si>
    <t xml:space="preserve">injuries.json › spannungspneu_links › dynamicFindings[3]</t>
  </si>
  <si>
    <t xml:space="preserve">B-053</t>
  </si>
  <si>
    <t xml:space="preserve">Halsvenen flach</t>
  </si>
  <si>
    <t xml:space="preserve">Schwere 0,5–1 (0–1); Gesamtblutverlust ≥ 15 %; bis „Thoraxdrainage li.“</t>
  </si>
  <si>
    <t xml:space="preserve">injuries.json › spannungspneu_links › dynamicFindings[4]</t>
  </si>
  <si>
    <t xml:space="preserve">B-054</t>
  </si>
  <si>
    <t xml:space="preserve">Trachea nach rechts verlagert (Spätzeichen)</t>
  </si>
  <si>
    <t xml:space="preserve">Schwere 0,8–1 (0–1); bis „Thoraxdrainage li.“</t>
  </si>
  <si>
    <t xml:space="preserve">injuries.json › spannungspneu_links › dynamicFindings[5]</t>
  </si>
  <si>
    <t xml:space="preserve">B-055</t>
  </si>
  <si>
    <t xml:space="preserve">Nach Entlastungspunktion links hörbares Entweichen von Luft, Atmung leichter</t>
  </si>
  <si>
    <t xml:space="preserve">Schwere 0–0,19 (0–1); nach „Nadeldekompression li.“; bis „Thoraxdrainage li.“</t>
  </si>
  <si>
    <t xml:space="preserve">injuries.json › spannungspneu_links › dynamicFindings[6]</t>
  </si>
  <si>
    <t xml:space="preserve">B-056</t>
  </si>
  <si>
    <t xml:space="preserve">Trotz Entlastungspunktion links weiter zunehmende Spannung (Kanüle zu kurz oder abgeknickt?)</t>
  </si>
  <si>
    <t xml:space="preserve">Schwere 0,2–1 (0–1); nach „Nadeldekompression li.“; bis „Thoraxdrainage li.“</t>
  </si>
  <si>
    <t xml:space="preserve">injuries.json › spannungspneu_links › dynamicFindings[7]</t>
  </si>
  <si>
    <t xml:space="preserve">B-057</t>
  </si>
  <si>
    <t xml:space="preserve">Thoraxdrainage links liegt und fördert Luft, Atemgeräusch links wieder hörbar</t>
  </si>
  <si>
    <t xml:space="preserve">nach „Thoraxdrainage li.“</t>
  </si>
  <si>
    <t xml:space="preserve">injuries.json › spannungspneu_links › dynamicFindings[8]</t>
  </si>
  <si>
    <t xml:space="preserve">B-058</t>
  </si>
  <si>
    <t xml:space="preserve">Links fehlendes Lungengleiten und kein Lungenpuls, Lungenpunkt nicht darstellbar – vereinbar mit großem Pneumothorax.</t>
  </si>
  <si>
    <t xml:space="preserve">injuries.json › spannungspneu_links › imaging[0]</t>
  </si>
  <si>
    <t xml:space="preserve">B-059</t>
  </si>
  <si>
    <t xml:space="preserve">Links Lungengleiten wieder nachweisbar.</t>
  </si>
  <si>
    <t xml:space="preserve">eFAST, nach „Thoraxdrainage li.“</t>
  </si>
  <si>
    <t xml:space="preserve">injuries.json › spannungspneu_links › imaging[0].resolvedFinding</t>
  </si>
  <si>
    <t xml:space="preserve">B-060</t>
  </si>
  <si>
    <t xml:space="preserve">Ausgedehnter Pneumothorax links mit Mediastinalverlagerung nach rechts und abgeflachtem linken Zwerchfell.</t>
  </si>
  <si>
    <t xml:space="preserve">injuries.json › spannungspneu_links › imaging[1]</t>
  </si>
  <si>
    <t xml:space="preserve">B-061</t>
  </si>
  <si>
    <t xml:space="preserve">Thoraxdrainage links in situ, Lunge weitgehend entfaltet, schmaler apikaler Restpneumothorax.</t>
  </si>
  <si>
    <t xml:space="preserve">Röntgen Thorax, nach „Thoraxdrainage li.“</t>
  </si>
  <si>
    <t xml:space="preserve">injuries.json › spannungspneu_links › imaging[1].resolvedFinding</t>
  </si>
  <si>
    <t xml:space="preserve">B-062</t>
  </si>
  <si>
    <t xml:space="preserve">Spannungspneumothorax links mit Mediastinalverlagerung nach rechts.</t>
  </si>
  <si>
    <t xml:space="preserve">injuries.json › spannungspneu_links › imaging[2]</t>
  </si>
  <si>
    <t xml:space="preserve">B-063</t>
  </si>
  <si>
    <t xml:space="preserve">Thoraxdrainage links in situ, kein relevanter Restpneumothorax.</t>
  </si>
  <si>
    <t xml:space="preserve">CT Körperstamm, nach „Thoraxdrainage li.“</t>
  </si>
  <si>
    <t xml:space="preserve">injuries.json › spannungspneu_links › imaging[2].resolvedFinding</t>
  </si>
  <si>
    <t xml:space="preserve">B-064</t>
  </si>
  <si>
    <t xml:space="preserve">Offene Unterschenkelfraktur rechts mit arterieller Blutung</t>
  </si>
  <si>
    <t xml:space="preserve">Unterschenkel rechts</t>
  </si>
  <si>
    <t xml:space="preserve">Offene Unterschenkelfraktur rechts, Knochenfragmente in der Wunde, Fehlstellung</t>
  </si>
  <si>
    <t xml:space="preserve">injuries.json › unterschenkel_offen_rechts › clinicalFindings[0]</t>
  </si>
  <si>
    <t xml:space="preserve">B-065</t>
  </si>
  <si>
    <t xml:space="preserve">Fußpulse rechts nicht tastbar</t>
  </si>
  <si>
    <t xml:space="preserve">injuries.json › unterschenkel_offen_rechts › clinicalFindings[1]</t>
  </si>
  <si>
    <t xml:space="preserve">B-066</t>
  </si>
  <si>
    <t xml:space="preserve">Pulsierend spritzende Blutung aus der Wunde</t>
  </si>
  <si>
    <t xml:space="preserve">bis „Tourniquet“</t>
  </si>
  <si>
    <t xml:space="preserve">injuries.json › unterschenkel_offen_rechts › dynamicFindings[0]</t>
  </si>
  <si>
    <t xml:space="preserve">B-067</t>
  </si>
  <si>
    <t xml:space="preserve">Tourniquet am rechten Oberschenkel, Blutung steht. Anlagezeit dokumentieren</t>
  </si>
  <si>
    <t xml:space="preserve">nach „Tourniquet“</t>
  </si>
  <si>
    <t xml:space="preserve">injuries.json › unterschenkel_offen_rechts › dynamicFindings[1]</t>
  </si>
  <si>
    <t xml:space="preserve">B-068</t>
  </si>
  <si>
    <t xml:space="preserve">Normalbefund (Untersuchung)</t>
  </si>
  <si>
    <t xml:space="preserve">—</t>
  </si>
  <si>
    <t xml:space="preserve">Keine Prellmarken, Wunden oder Schwellungen am Kopf</t>
  </si>
  <si>
    <t xml:space="preserve">Region ohne aktive Verletzung</t>
  </si>
  <si>
    <t xml:space="preserve">findings.json › Kopf › normal[0]</t>
  </si>
  <si>
    <t xml:space="preserve">B-069</t>
  </si>
  <si>
    <t xml:space="preserve">Kein Blut oder Liquor aus Nase oder Ohren</t>
  </si>
  <si>
    <t xml:space="preserve">findings.json › Kopf › normal[1]</t>
  </si>
  <si>
    <t xml:space="preserve">B-070</t>
  </si>
  <si>
    <t xml:space="preserve">Thorax stabil, kein Druckschmerz, keine Krepitation</t>
  </si>
  <si>
    <t xml:space="preserve">findings.json › Thorax › normal[0]</t>
  </si>
  <si>
    <t xml:space="preserve">B-071</t>
  </si>
  <si>
    <t xml:space="preserve">Atemgeräusch beidseits seitengleich vesikulär</t>
  </si>
  <si>
    <t xml:space="preserve">findings.json › Thorax › normal[1]</t>
  </si>
  <si>
    <t xml:space="preserve">B-072</t>
  </si>
  <si>
    <t xml:space="preserve">Klopfschall beidseits sonor, Halsvenen nicht gestaut</t>
  </si>
  <si>
    <t xml:space="preserve">findings.json › Thorax › normal[2]</t>
  </si>
  <si>
    <t xml:space="preserve">B-073</t>
  </si>
  <si>
    <t xml:space="preserve">Bauchdecke weich, kein Druckschmerz, keine Abwehrspannung</t>
  </si>
  <si>
    <t xml:space="preserve">findings.json › Abdomen › normal[0]</t>
  </si>
  <si>
    <t xml:space="preserve">B-074</t>
  </si>
  <si>
    <t xml:space="preserve">Keine Prellmarken, kein Gurtzeichen</t>
  </si>
  <si>
    <t xml:space="preserve">findings.json › Abdomen › normal[1]</t>
  </si>
  <si>
    <t xml:space="preserve">B-075</t>
  </si>
  <si>
    <t xml:space="preserve">Becken stabil bei vorsichtiger Kompression</t>
  </si>
  <si>
    <t xml:space="preserve">findings.json › Becken › normal[0]</t>
  </si>
  <si>
    <t xml:space="preserve">B-076</t>
  </si>
  <si>
    <t xml:space="preserve">Keine Prellmarken an Flanke, Leiste oder Perineum</t>
  </si>
  <si>
    <t xml:space="preserve">findings.json › Becken › normal[1]</t>
  </si>
  <si>
    <t xml:space="preserve">B-077</t>
  </si>
  <si>
    <t xml:space="preserve">Keine Fehlstellung, Weichteile weich</t>
  </si>
  <si>
    <t xml:space="preserve">findings.json › Oberschenkel rechts › normal[0]</t>
  </si>
  <si>
    <t xml:space="preserve">B-078</t>
  </si>
  <si>
    <t xml:space="preserve">Durchblutung, Motorik und Sensibilität distal intakt</t>
  </si>
  <si>
    <t xml:space="preserve">findings.json › Oberschenkel rechts › normal[1]</t>
  </si>
  <si>
    <t xml:space="preserve">B-079</t>
  </si>
  <si>
    <t xml:space="preserve">Oberschenkel links</t>
  </si>
  <si>
    <t xml:space="preserve">findings.json › Oberschenkel links › normal[0]</t>
  </si>
  <si>
    <t xml:space="preserve">B-080</t>
  </si>
  <si>
    <t xml:space="preserve">findings.json › Oberschenkel links › normal[1]</t>
  </si>
  <si>
    <t xml:space="preserve">B-081</t>
  </si>
  <si>
    <t xml:space="preserve">Keine Wunden oder Fehlstellung</t>
  </si>
  <si>
    <t xml:space="preserve">findings.json › Unterschenkel rechts › normal[0]</t>
  </si>
  <si>
    <t xml:space="preserve">B-082</t>
  </si>
  <si>
    <t xml:space="preserve">Fußpulse tastbar</t>
  </si>
  <si>
    <t xml:space="preserve">findings.json › Unterschenkel rechts › normal[1]</t>
  </si>
  <si>
    <t xml:space="preserve">B-083</t>
  </si>
  <si>
    <t xml:space="preserve">Unterschenkel links</t>
  </si>
  <si>
    <t xml:space="preserve">findings.json › Unterschenkel links › normal[0]</t>
  </si>
  <si>
    <t xml:space="preserve">B-084</t>
  </si>
  <si>
    <t xml:space="preserve">findings.json › Unterschenkel links › normal[1]</t>
  </si>
  <si>
    <t xml:space="preserve">B-085</t>
  </si>
  <si>
    <t xml:space="preserve">Arm rechts</t>
  </si>
  <si>
    <t xml:space="preserve">Keine Fehlstellung, frei beweglich</t>
  </si>
  <si>
    <t xml:space="preserve">findings.json › Arm rechts › normal[0]</t>
  </si>
  <si>
    <t xml:space="preserve">B-086</t>
  </si>
  <si>
    <t xml:space="preserve">Radialispuls tastbar</t>
  </si>
  <si>
    <t xml:space="preserve">findings.json › Arm rechts › normal[1]</t>
  </si>
  <si>
    <t xml:space="preserve">B-087</t>
  </si>
  <si>
    <t xml:space="preserve">Arm links</t>
  </si>
  <si>
    <t xml:space="preserve">findings.json › Arm links › normal[0]</t>
  </si>
  <si>
    <t xml:space="preserve">B-088</t>
  </si>
  <si>
    <t xml:space="preserve">findings.json › Arm links › normal[1]</t>
  </si>
  <si>
    <t xml:space="preserve">B-089</t>
  </si>
  <si>
    <t xml:space="preserve">Neurostatus (dynamisch)</t>
  </si>
  <si>
    <t xml:space="preserve">Aktuell GCS {Wert} (sediert/beatmet)</t>
  </si>
  <si>
    <t xml:space="preserve">immer; GCS aus der Physiologie</t>
  </si>
  <si>
    <t xml:space="preserve">Code: Simulation.examine / BodyRegion.cs</t>
  </si>
  <si>
    <t xml:space="preserve">B-090</t>
  </si>
  <si>
    <t xml:space="preserve">Pupillen anisokor: eine Pupille weit und lichtstarr</t>
  </si>
  <si>
    <t xml:space="preserve">ab SHT-Schwere 0,7 (Herniation)</t>
  </si>
  <si>
    <t xml:space="preserve">B-091</t>
  </si>
  <si>
    <t xml:space="preserve">Pupillen isokor, prompt lichtreagibel</t>
  </si>
  <si>
    <t xml:space="preserve">sonst</t>
  </si>
  <si>
    <t xml:space="preserve">B-092</t>
  </si>
  <si>
    <t xml:space="preserve">Bildgebung Normalbefund</t>
  </si>
  <si>
    <t xml:space="preserve">Keine freie Flüssigkeit perihepatisch, perisplenisch und im kleinen Becken; kein Perikarderguss; Lungengleiten beidseits erhalten.</t>
  </si>
  <si>
    <t xml:space="preserve">wenn nichts gefunden</t>
  </si>
  <si>
    <t xml:space="preserve">imaging.json › efast › normalFinding</t>
  </si>
  <si>
    <t xml:space="preserve">B-093</t>
  </si>
  <si>
    <t xml:space="preserve">Kein Pneumothorax, keine Rippenfrakturen abgrenzbar, Mediastinum nicht verbreitert, Zwerchfelle glatt begrenzt.</t>
  </si>
  <si>
    <t xml:space="preserve">imaging.json › rx_thorax › normalFinding</t>
  </si>
  <si>
    <t xml:space="preserve">B-094</t>
  </si>
  <si>
    <t xml:space="preserve">Beckenring geschlossen, Symphyse und Iliosakralgelenke regelrecht, keine Fraktur abgrenzbar.</t>
  </si>
  <si>
    <t xml:space="preserve">imaging.json › rx_becken › normalFinding</t>
  </si>
  <si>
    <t xml:space="preserve">B-095</t>
  </si>
  <si>
    <t xml:space="preserve">Keine intrakranielle Blutung, keine Raumforderung, Mittellinie nicht verlagert, Kalotte intakt.</t>
  </si>
  <si>
    <t xml:space="preserve">imaging.json › cct › normalFinding</t>
  </si>
  <si>
    <t xml:space="preserve">B-096</t>
  </si>
  <si>
    <t xml:space="preserve">Ganzkörper-CT</t>
  </si>
  <si>
    <t xml:space="preserve">Keine traumatischen Verletzungen von Schädel, Wirbelsäule, Thorax, Abdomen und Becken.</t>
  </si>
  <si>
    <t xml:space="preserve">imaging.json › ct_ganzkoerper › normalFinding</t>
  </si>
  <si>
    <t xml:space="preserve">B-097</t>
  </si>
  <si>
    <t xml:space="preserve">Differenzialdiagnose: Beschreibung</t>
  </si>
  <si>
    <t xml:space="preserve">Hämatothorax links</t>
  </si>
  <si>
    <t xml:space="preserve">Blut im Pleuraspalt, z. B. nach Rippenfrakturen; gedämpfter Klopfschall, abgeschwächtes Atemgeräusch, Schock.</t>
  </si>
  <si>
    <t xml:space="preserve">Beschreibung (derzeit nicht im Spiel angezeigt)</t>
  </si>
  <si>
    <t xml:space="preserve">differentials.json › haematothorax_links › description</t>
  </si>
  <si>
    <t xml:space="preserve">B-098</t>
  </si>
  <si>
    <t xml:space="preserve">Differenzialdiagnose: spricht dagegen</t>
  </si>
  <si>
    <t xml:space="preserve">Klopfschall war nicht gedämpft; eFAST und Röntgen Thorax hätten einen Pleuraerguss gezeigt.</t>
  </si>
  <si>
    <t xml:space="preserve">allgemein</t>
  </si>
  <si>
    <t xml:space="preserve">differentials.json › haematothorax_links › against[0]</t>
  </si>
  <si>
    <t xml:space="preserve">B-099</t>
  </si>
  <si>
    <t xml:space="preserve">Klopfschall links war hypersonor, nicht gedämpft: Luft, nicht Blut im Pleuraspalt. Beide Bilder teilen das abgeschwächte Atemgeräusch.</t>
  </si>
  <si>
    <t xml:space="preserve">wenn tatsächlich: Spannungspneumothorax links</t>
  </si>
  <si>
    <t xml:space="preserve">differentials.json › haematothorax_links › against[1]</t>
  </si>
  <si>
    <t xml:space="preserve">B-100</t>
  </si>
  <si>
    <t xml:space="preserve">Rippenfrakturen allein machen noch keinen Hämatothorax; Bildgebung ohne Erguss.</t>
  </si>
  <si>
    <t xml:space="preserve">wenn tatsächlich: Rippenserienfraktur links (Rippen 4–7)</t>
  </si>
  <si>
    <t xml:space="preserve">differentials.json › haematothorax_links › against[2]</t>
  </si>
  <si>
    <t xml:space="preserve">B-101</t>
  </si>
  <si>
    <t xml:space="preserve">Perikardtamponade</t>
  </si>
  <si>
    <t xml:space="preserve">Blut im Herzbeutel; gestaute Halsvenen, Hypotonie, leise Herztöne (Beck-Trias).</t>
  </si>
  <si>
    <t xml:space="preserve">differentials.json › perikardtamponade › description</t>
  </si>
  <si>
    <t xml:space="preserve">B-102</t>
  </si>
  <si>
    <t xml:space="preserve">eFAST hätte einen Perikarderguss gezeigt; kein Hinweis darauf.</t>
  </si>
  <si>
    <t xml:space="preserve">differentials.json › perikardtamponade › against[0]</t>
  </si>
  <si>
    <t xml:space="preserve">B-103</t>
  </si>
  <si>
    <t xml:space="preserve">Gestaute Halsvenen und Schock passen zu beidem, aber einseitig fehlendes Atemgeräusch und hypersonorer Klopfschall sprechen für den Spannungspneu.</t>
  </si>
  <si>
    <t xml:space="preserve">differentials.json › perikardtamponade › against[1]</t>
  </si>
  <si>
    <t xml:space="preserve">B-104</t>
  </si>
  <si>
    <t xml:space="preserve">Traumatische Aortenverletzung</t>
  </si>
  <si>
    <t xml:space="preserve">Dezelerationstrauma; verbreitertes Mediastinum im Röntgen, Blutdruckdifferenz zwischen den Armen.</t>
  </si>
  <si>
    <t xml:space="preserve">differentials.json › aortenverletzung › description</t>
  </si>
  <si>
    <t xml:space="preserve">B-105</t>
  </si>
  <si>
    <t xml:space="preserve">Kein verbreitertes Mediastinum, keine Aortenläsion in der CT.</t>
  </si>
  <si>
    <t xml:space="preserve">differentials.json › aortenverletzung › against[0]</t>
  </si>
  <si>
    <t xml:space="preserve">B-106</t>
  </si>
  <si>
    <t xml:space="preserve">Der Schock erklärt sich durch die Beckenblutung.</t>
  </si>
  <si>
    <t xml:space="preserve">wenn tatsächlich: Instabile Beckenringfraktur</t>
  </si>
  <si>
    <t xml:space="preserve">differentials.json › aortenverletzung › against[1]</t>
  </si>
  <si>
    <t xml:space="preserve">B-107</t>
  </si>
  <si>
    <t xml:space="preserve">Der Schock erklärt sich durch die intraabdominelle Blutung.</t>
  </si>
  <si>
    <t xml:space="preserve">wenn tatsächlich: Milzruptur</t>
  </si>
  <si>
    <t xml:space="preserve">differentials.json › aortenverletzung › against[2]</t>
  </si>
  <si>
    <t xml:space="preserve">B-108</t>
  </si>
  <si>
    <t xml:space="preserve">wenn tatsächlich: Leberlazeration</t>
  </si>
  <si>
    <t xml:space="preserve">differentials.json › aortenverletzung › against[3]</t>
  </si>
  <si>
    <t xml:space="preserve">B-109</t>
  </si>
  <si>
    <t xml:space="preserve">Lungenkontusion</t>
  </si>
  <si>
    <t xml:space="preserve">Parenchymblutung nach stumpfem Thoraxtrauma; Hypoxie, Infiltrate oft erst nach Stunden sichtbar.</t>
  </si>
  <si>
    <t xml:space="preserve">differentials.json › lungenkontusion › description</t>
  </si>
  <si>
    <t xml:space="preserve">B-110</t>
  </si>
  <si>
    <t xml:space="preserve">Keine Kontusionsherde in Röntgen oder CT.</t>
  </si>
  <si>
    <t xml:space="preserve">differentials.json › lungenkontusion › against[0]</t>
  </si>
  <si>
    <t xml:space="preserve">B-111</t>
  </si>
  <si>
    <t xml:space="preserve">Häufige Begleitverletzung der Rippenserie, hier in der Bildgebung aber nicht nachweisbar.</t>
  </si>
  <si>
    <t xml:space="preserve">differentials.json › lungenkontusion › against[1]</t>
  </si>
  <si>
    <t xml:space="preserve">B-112</t>
  </si>
  <si>
    <t xml:space="preserve">Die Hypoxie erklärt sich durch den Spannungspneu und bessert sich nach der Entlastung.</t>
  </si>
  <si>
    <t xml:space="preserve">differentials.json › lungenkontusion › against[2]</t>
  </si>
  <si>
    <t xml:space="preserve">B-113</t>
  </si>
  <si>
    <t xml:space="preserve">Nierenverletzung</t>
  </si>
  <si>
    <t xml:space="preserve">Flankenanprall; Flankenschmerz, Hämaturie, retroperitoneales Hämatom.</t>
  </si>
  <si>
    <t xml:space="preserve">differentials.json › nierenverletzung › description</t>
  </si>
  <si>
    <t xml:space="preserve">B-114</t>
  </si>
  <si>
    <t xml:space="preserve">Keine Hämaturie, keine Nierenläsion in der CT.</t>
  </si>
  <si>
    <t xml:space="preserve">differentials.json › nierenverletzung › against[0]</t>
  </si>
  <si>
    <t xml:space="preserve">B-115</t>
  </si>
  <si>
    <t xml:space="preserve">Schmerz und Prellmarke links passen auch zur Niere, aber eFAST zeigte freie Flüssigkeit intraperitoneal (Milz), nicht retroperitoneal.</t>
  </si>
  <si>
    <t xml:space="preserve">differentials.json › nierenverletzung › against[1]</t>
  </si>
  <si>
    <t xml:space="preserve">B-116</t>
  </si>
  <si>
    <t xml:space="preserve">Darm- oder Mesenterialverletzung</t>
  </si>
  <si>
    <t xml:space="preserve">Typisch nach Gurtverletzung (Gurtzeichen); freie Luft, Peritonitis oft verzögert.</t>
  </si>
  <si>
    <t xml:space="preserve">differentials.json › hohlorganverletzung › description</t>
  </si>
  <si>
    <t xml:space="preserve">B-117</t>
  </si>
  <si>
    <t xml:space="preserve">Kein Gurtzeichen, keine freie Luft in der CT.</t>
  </si>
  <si>
    <t xml:space="preserve">differentials.json › hohlorganverletzung › against[0]</t>
  </si>
  <si>
    <t xml:space="preserve">B-118</t>
  </si>
  <si>
    <t xml:space="preserve">Instabile Wirbelsäulenverletzung</t>
  </si>
  <si>
    <t xml:space="preserve">Wirbelsäule</t>
  </si>
  <si>
    <t xml:space="preserve">Fraktur von HWS oder BWS; Nacken- oder Rückenschmerz, neurologische Ausfälle, ggf. neurogener Schock (Hypotonie mit Bradykardie).</t>
  </si>
  <si>
    <t xml:space="preserve">differentials.json › wirbelsaeulenverletzung › description</t>
  </si>
  <si>
    <t xml:space="preserve">B-119</t>
  </si>
  <si>
    <t xml:space="preserve">Keine Fraktur in der CT, Motorik und Sensibilität an allen Extremitäten intakt, kein neurogener Schock (Hypotonie hier mit Tachykardie bzw. Blutverlust).</t>
  </si>
  <si>
    <t xml:space="preserve">differentials.json › wirbelsaeulenverletzung › against[0]</t>
  </si>
  <si>
    <t xml:space="preserve">B-120</t>
  </si>
  <si>
    <t xml:space="preserve">Hypotonie mit Blutverlust aus dem Becken, nicht neurogen.</t>
  </si>
  <si>
    <t xml:space="preserve">differentials.json › wirbelsaeulenverletzung › against[1]</t>
  </si>
  <si>
    <t xml:space="preserve">B-121</t>
  </si>
  <si>
    <t xml:space="preserve">Diffuse axonale Schädigung</t>
  </si>
  <si>
    <t xml:space="preserve">Scherverletzung bei Rotationstrauma; tiefe Bewusstlosigkeit ab dem Unfall ohne raumforderndes Hämatom.</t>
  </si>
  <si>
    <t xml:space="preserve">differentials.json › diffuse_axonale_schaedigung › description</t>
  </si>
  <si>
    <t xml:space="preserve">B-122</t>
  </si>
  <si>
    <t xml:space="preserve">Kein Hinweis in der CCT, keine anhaltende Bewusstseinsstörung.</t>
  </si>
  <si>
    <t xml:space="preserve">differentials.json › diffuse_axonale_schaedigung › against[0]</t>
  </si>
  <si>
    <t xml:space="preserve">B-123</t>
  </si>
  <si>
    <t xml:space="preserve">Die CCT zeigt ein raumforderndes Subduralhämatom, das die Bewusstseinsstörung erklärt.</t>
  </si>
  <si>
    <t xml:space="preserve">wenn tatsächlich: Akutes Subduralhämatom links mit Kontusionen</t>
  </si>
  <si>
    <t xml:space="preserve">differentials.json › diffuse_axonale_schaedigung › against[1]</t>
  </si>
  <si>
    <t xml:space="preserve">B-124</t>
  </si>
  <si>
    <t xml:space="preserve">Luzides Intervall und raumforderndes Epiduralhämatom in der CCT erklären die Eintrübung.</t>
  </si>
  <si>
    <t xml:space="preserve">wenn tatsächlich: Epiduralhämatom rechts temporal</t>
  </si>
  <si>
    <t xml:space="preserve">differentials.json › diffuse_axonale_schaedigung › against[2]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</si>
</sst>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A686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6B63"/>
        <bgColor rgb="FF008080"/>
      </patternFill>
    </fill>
    <fill>
      <patternFill patternType="solid">
        <fgColor rgb="FFFFF2CC"/>
        <bgColor rgb="FFF9E3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BD8"/>
      </left>
      <right style="thin">
        <color rgb="FFD3DBD8"/>
      </right>
      <top style="thin">
        <color rgb="FFD3DBD8"/>
      </top>
      <bottom style="thin">
        <color rgb="FFD3DB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D6B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A686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F1E6"/>
        </patternFill>
      </fill>
    </dxf>
    <dxf>
      <fill>
        <patternFill>
          <bgColor rgb="FFF9E3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63"/>
      <rgbColor rgb="FFC0C0C0"/>
      <rgbColor rgb="FF808080"/>
      <rgbColor rgb="FF9999FF"/>
      <rgbColor rgb="FF993366"/>
      <rgbColor rgb="FFFFF2CC"/>
      <rgbColor rgb="FFE2F1E6"/>
      <rgbColor rgb="FF660066"/>
      <rgbColor rgb="FFFF8080"/>
      <rgbColor rgb="FF0066CC"/>
      <rgbColor rgb="FFD3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E3E1"/>
      <rgbColor rgb="FF3366FF"/>
      <rgbColor rgb="FF33CCCC"/>
      <rgbColor rgb="FF99CC00"/>
      <rgbColor rgb="FFFFCC00"/>
      <rgbColor rgb="FFFF9900"/>
      <rgbColor rgb="FFFF6600"/>
      <rgbColor rgb="FF5A686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26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/>
      <c r="B3" s="3"/>
      <c r="C3" s="3"/>
      <c r="D3" s="3"/>
      <c r="E3" s="3"/>
      <c r="F3" s="3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15.75" hidden="false" customHeight="true" outlineLevel="0" collapsed="false">
      <c r="A6" s="3"/>
      <c r="B6" s="3"/>
      <c r="C6" s="3"/>
      <c r="D6" s="3"/>
      <c r="E6" s="3"/>
      <c r="F6" s="3"/>
    </row>
    <row r="7" customFormat="false" ht="15.75" hidden="false" customHeight="true" outlineLevel="0" collapsed="false">
      <c r="A7" s="4" t="s">
        <v>4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5" t="s">
        <v>5</v>
      </c>
      <c r="B8" s="5"/>
      <c r="C8" s="5"/>
      <c r="D8" s="5"/>
      <c r="E8" s="5"/>
      <c r="F8" s="5"/>
    </row>
    <row r="9" customFormat="false" ht="15.75" hidden="false" customHeight="true" outlineLevel="0" collapsed="false">
      <c r="A9" s="5" t="s">
        <v>6</v>
      </c>
      <c r="B9" s="5"/>
      <c r="C9" s="5"/>
      <c r="D9" s="5"/>
      <c r="E9" s="5"/>
      <c r="F9" s="5"/>
    </row>
    <row r="10" customFormat="false" ht="30" hidden="false" customHeight="true" outlineLevel="0" collapsed="false">
      <c r="A10" s="5" t="s">
        <v>7</v>
      </c>
      <c r="B10" s="5"/>
      <c r="C10" s="5"/>
      <c r="D10" s="5"/>
      <c r="E10" s="5"/>
      <c r="F10" s="5"/>
    </row>
    <row r="11" customFormat="false" ht="30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15.75" hidden="false" customHeight="true" outlineLevel="0" collapsed="false">
      <c r="A12" s="5" t="s">
        <v>9</v>
      </c>
      <c r="B12" s="5"/>
      <c r="C12" s="5"/>
      <c r="D12" s="5"/>
      <c r="E12" s="5"/>
      <c r="F12" s="5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</row>
    <row r="14" customFormat="false" ht="15.75" hidden="false" customHeight="true" outlineLevel="0" collapsed="false">
      <c r="A14" s="4" t="s">
        <v>10</v>
      </c>
      <c r="B14" s="4"/>
      <c r="C14" s="4"/>
      <c r="D14" s="4"/>
      <c r="E14" s="4"/>
      <c r="F14" s="4"/>
    </row>
    <row r="15" customFormat="false" ht="30" hidden="false" customHeight="true" outlineLevel="0" collapsed="false">
      <c r="A15" s="5" t="s">
        <v>11</v>
      </c>
      <c r="B15" s="5"/>
      <c r="C15" s="5"/>
      <c r="D15" s="5"/>
      <c r="E15" s="5"/>
      <c r="F15" s="5"/>
    </row>
    <row r="16" customFormat="false" ht="30" hidden="false" customHeight="true" outlineLevel="0" collapsed="false">
      <c r="A16" s="5" t="s">
        <v>12</v>
      </c>
      <c r="B16" s="5"/>
      <c r="C16" s="5"/>
      <c r="D16" s="5"/>
      <c r="E16" s="5"/>
      <c r="F16" s="5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</row>
    <row r="18" customFormat="false" ht="15.75" hidden="false" customHeight="true" outlineLevel="0" collapsed="false">
      <c r="A18" s="4" t="s">
        <v>13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6" t="s">
        <v>14</v>
      </c>
      <c r="B19" s="6" t="s">
        <v>15</v>
      </c>
      <c r="C19" s="6" t="s">
        <v>16</v>
      </c>
      <c r="D19" s="6" t="s">
        <v>17</v>
      </c>
      <c r="E19" s="6" t="s">
        <v>18</v>
      </c>
      <c r="F19" s="6" t="s">
        <v>19</v>
      </c>
    </row>
    <row r="20" customFormat="false" ht="39.55" hidden="false" customHeight="false" outlineLevel="0" collapsed="false">
      <c r="A20" s="7" t="s">
        <v>20</v>
      </c>
      <c r="B20" s="7" t="s">
        <v>21</v>
      </c>
      <c r="C20" s="7" t="s">
        <v>22</v>
      </c>
      <c r="D20" s="7" t="s">
        <v>23</v>
      </c>
      <c r="E20" s="8" t="s">
        <v>24</v>
      </c>
      <c r="F20" s="8" t="s">
        <v>25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1" customFormat="false" ht="16.15" hidden="false" customHeight="false" outlineLevel="0" collapsed="false">
      <c r="A1" s="9" t="s">
        <v>26</v>
      </c>
    </row>
    <row r="3" customFormat="false" ht="15" hidden="false" customHeight="false" outlineLevel="0" collapsed="false">
      <c r="A3" s="10" t="s">
        <v>27</v>
      </c>
      <c r="B3" s="10" t="s">
        <v>28</v>
      </c>
      <c r="C3" s="10" t="s">
        <v>29</v>
      </c>
    </row>
    <row r="4" customFormat="false" ht="15" hidden="false" customHeight="false" outlineLevel="0" collapsed="false">
      <c r="A4" s="11" t="s">
        <v>30</v>
      </c>
      <c r="B4" s="11" t="n">
        <f aca="false">COUNTIF(Befunde!$H$2:$H$165,A4)</f>
        <v>0</v>
      </c>
      <c r="C4" s="11" t="n">
        <f aca="false">COUNTIF(Befunde!$J$2:$J$165,A4)</f>
        <v>0</v>
      </c>
    </row>
    <row r="5" customFormat="false" ht="15" hidden="false" customHeight="false" outlineLevel="0" collapsed="false">
      <c r="A5" s="11" t="s">
        <v>24</v>
      </c>
      <c r="B5" s="11" t="n">
        <f aca="false">COUNTIF(Befunde!$H$2:$H$165,A5)</f>
        <v>0</v>
      </c>
      <c r="C5" s="11" t="n">
        <f aca="false">COUNTIF(Befunde!$J$2:$J$165,A5)</f>
        <v>0</v>
      </c>
    </row>
    <row r="6" customFormat="false" ht="15" hidden="false" customHeight="false" outlineLevel="0" collapsed="false">
      <c r="A6" s="11" t="s">
        <v>31</v>
      </c>
      <c r="B6" s="11" t="n">
        <f aca="false">COUNTIF(Befunde!$H$2:$H$165,A6)</f>
        <v>0</v>
      </c>
      <c r="C6" s="11" t="n">
        <f aca="false">COUNTIF(Befunde!$J$2:$J$165,A6)</f>
        <v>0</v>
      </c>
    </row>
    <row r="7" customFormat="false" ht="15" hidden="false" customHeight="false" outlineLevel="0" collapsed="false">
      <c r="A7" s="11" t="s">
        <v>32</v>
      </c>
      <c r="B7" s="11" t="n">
        <f aca="false">COUNTIF(Befunde!$H$2:$H$165,A7)</f>
        <v>0</v>
      </c>
      <c r="C7" s="11" t="n">
        <f aca="false">COUNTIF(Befunde!$J$2:$J$165,A7)</f>
        <v>0</v>
      </c>
    </row>
    <row r="8" customFormat="false" ht="15" hidden="false" customHeight="false" outlineLevel="0" collapsed="false">
      <c r="A8" s="11" t="s">
        <v>33</v>
      </c>
      <c r="B8" s="11" t="n">
        <f aca="false">COUNTA(Befunde!$E$2:$E$165)-SUM(B4:B7)</f>
        <v>124</v>
      </c>
      <c r="C8" s="11" t="n">
        <f aca="false">COUNTA(Befunde!$E$2:$E$165)-SUM(C4:C7)</f>
        <v>124</v>
      </c>
    </row>
    <row r="9" customFormat="false" ht="15" hidden="false" customHeight="false" outlineLevel="0" collapsed="false">
      <c r="A9" s="12" t="s">
        <v>34</v>
      </c>
      <c r="B9" s="12" t="n">
        <f aca="false">COUNTA(Befunde!$E$2:$E$165)</f>
        <v>124</v>
      </c>
      <c r="C9" s="12" t="n">
        <f aca="false">COUNTA(Befunde!$E$2:$E$165)</f>
        <v>124</v>
      </c>
    </row>
    <row r="10" customFormat="false" ht="15" hidden="false" customHeight="false" outlineLevel="0" collapsed="false">
      <c r="A10" s="12" t="s">
        <v>35</v>
      </c>
      <c r="B10" s="13" t="n">
        <f aca="false">IF(B9=0,0,1-B8/B9)</f>
        <v>0</v>
      </c>
      <c r="C10" s="13" t="n">
        <f aca="false">IF(C9=0,0,1-C8/C9)</f>
        <v>0</v>
      </c>
    </row>
    <row r="12" customFormat="false" ht="15" hidden="false" customHeight="false" outlineLevel="0" collapsed="false">
      <c r="A12" s="11" t="s">
        <v>36</v>
      </c>
      <c r="B12" s="11" t="n">
        <f aca="false">SUMPRODUCT((Befunde!$H$2:$H$165="passt")*(Befunde!$J$2:$J$165&lt;&gt;"passt")*(Befunde!$J$2:$J$165&lt;&gt;""))+SUMPRODUCT((Befunde!$J$2:$J$165="passt")*(Befunde!$H$2:$H$165&lt;&gt;"passt")*(Befunde!$H$2:$H$165&lt;&gt;""))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30"/>
    <col collapsed="false" customWidth="true" hidden="false" outlineLevel="0" max="13" min="13" style="0" width="9"/>
  </cols>
  <sheetData>
    <row r="1" customFormat="false" ht="31.5" hidden="false" customHeight="true" outlineLevel="0" collapsed="false">
      <c r="A1" s="14" t="s">
        <v>37</v>
      </c>
      <c r="B1" s="14" t="s">
        <v>14</v>
      </c>
      <c r="C1" s="14" t="s">
        <v>38</v>
      </c>
      <c r="D1" s="14" t="s">
        <v>39</v>
      </c>
      <c r="E1" s="14" t="s">
        <v>16</v>
      </c>
      <c r="F1" s="14" t="s">
        <v>40</v>
      </c>
      <c r="G1" s="14" t="s">
        <v>41</v>
      </c>
      <c r="H1" s="14" t="s">
        <v>42</v>
      </c>
      <c r="I1" s="14" t="s">
        <v>19</v>
      </c>
      <c r="J1" s="14" t="s">
        <v>43</v>
      </c>
      <c r="K1" s="14" t="s">
        <v>44</v>
      </c>
      <c r="L1" s="14" t="s">
        <v>45</v>
      </c>
      <c r="M1" s="14" t="s">
        <v>46</v>
      </c>
    </row>
    <row r="2" customFormat="false" ht="23.85" hidden="false" customHeight="false" outlineLevel="0" collapsed="false">
      <c r="A2" s="15" t="s">
        <v>47</v>
      </c>
      <c r="B2" s="15" t="s">
        <v>20</v>
      </c>
      <c r="C2" s="15" t="s">
        <v>48</v>
      </c>
      <c r="D2" s="15" t="s">
        <v>49</v>
      </c>
      <c r="E2" s="15" t="s">
        <v>50</v>
      </c>
      <c r="F2" s="15" t="s">
        <v>51</v>
      </c>
      <c r="G2" s="16" t="s">
        <v>52</v>
      </c>
      <c r="H2" s="17"/>
      <c r="I2" s="17"/>
      <c r="J2" s="17"/>
      <c r="K2" s="17"/>
      <c r="L2" s="17"/>
      <c r="M2" s="15" t="s">
        <v>53</v>
      </c>
    </row>
    <row r="3" customFormat="false" ht="23.85" hidden="false" customHeight="false" outlineLevel="0" collapsed="false">
      <c r="A3" s="15" t="s">
        <v>54</v>
      </c>
      <c r="B3" s="15" t="s">
        <v>20</v>
      </c>
      <c r="C3" s="15" t="s">
        <v>48</v>
      </c>
      <c r="D3" s="15" t="s">
        <v>49</v>
      </c>
      <c r="E3" s="15" t="s">
        <v>55</v>
      </c>
      <c r="F3" s="15" t="s">
        <v>51</v>
      </c>
      <c r="G3" s="16" t="s">
        <v>56</v>
      </c>
      <c r="H3" s="17"/>
      <c r="I3" s="17"/>
      <c r="J3" s="17"/>
      <c r="K3" s="17"/>
      <c r="L3" s="17"/>
      <c r="M3" s="15" t="s">
        <v>53</v>
      </c>
    </row>
    <row r="4" customFormat="false" ht="35.05" hidden="false" customHeight="false" outlineLevel="0" collapsed="false">
      <c r="A4" s="15" t="s">
        <v>57</v>
      </c>
      <c r="B4" s="15" t="s">
        <v>20</v>
      </c>
      <c r="C4" s="15" t="s">
        <v>48</v>
      </c>
      <c r="D4" s="15" t="s">
        <v>49</v>
      </c>
      <c r="E4" s="15" t="s">
        <v>58</v>
      </c>
      <c r="F4" s="15" t="s">
        <v>59</v>
      </c>
      <c r="G4" s="16" t="s">
        <v>60</v>
      </c>
      <c r="H4" s="17"/>
      <c r="I4" s="17"/>
      <c r="J4" s="17"/>
      <c r="K4" s="17"/>
      <c r="L4" s="17"/>
      <c r="M4" s="15" t="s">
        <v>53</v>
      </c>
    </row>
    <row r="5" customFormat="false" ht="23.85" hidden="false" customHeight="false" outlineLevel="0" collapsed="false">
      <c r="A5" s="15" t="s">
        <v>61</v>
      </c>
      <c r="B5" s="15" t="s">
        <v>20</v>
      </c>
      <c r="C5" s="15" t="s">
        <v>48</v>
      </c>
      <c r="D5" s="15" t="s">
        <v>49</v>
      </c>
      <c r="E5" s="15" t="s">
        <v>62</v>
      </c>
      <c r="F5" s="15" t="s">
        <v>63</v>
      </c>
      <c r="G5" s="16" t="s">
        <v>64</v>
      </c>
      <c r="H5" s="17"/>
      <c r="I5" s="17"/>
      <c r="J5" s="17"/>
      <c r="K5" s="17"/>
      <c r="L5" s="17"/>
      <c r="M5" s="15" t="s">
        <v>53</v>
      </c>
    </row>
    <row r="6" customFormat="false" ht="23.85" hidden="false" customHeight="false" outlineLevel="0" collapsed="false">
      <c r="A6" s="15" t="s">
        <v>65</v>
      </c>
      <c r="B6" s="15" t="s">
        <v>66</v>
      </c>
      <c r="C6" s="15" t="s">
        <v>48</v>
      </c>
      <c r="D6" s="15" t="s">
        <v>49</v>
      </c>
      <c r="E6" s="15" t="s">
        <v>67</v>
      </c>
      <c r="F6" s="15" t="s">
        <v>68</v>
      </c>
      <c r="G6" s="16" t="s">
        <v>69</v>
      </c>
      <c r="H6" s="17"/>
      <c r="I6" s="17"/>
      <c r="J6" s="17"/>
      <c r="K6" s="17"/>
      <c r="L6" s="17"/>
      <c r="M6" s="15" t="s">
        <v>53</v>
      </c>
    </row>
    <row r="7" customFormat="false" ht="23.85" hidden="false" customHeight="false" outlineLevel="0" collapsed="false">
      <c r="A7" s="15" t="s">
        <v>70</v>
      </c>
      <c r="B7" s="15" t="s">
        <v>66</v>
      </c>
      <c r="C7" s="15" t="s">
        <v>48</v>
      </c>
      <c r="D7" s="15" t="s">
        <v>49</v>
      </c>
      <c r="E7" s="15" t="s">
        <v>71</v>
      </c>
      <c r="F7" s="15" t="s">
        <v>72</v>
      </c>
      <c r="G7" s="16" t="s">
        <v>73</v>
      </c>
      <c r="H7" s="17"/>
      <c r="I7" s="17"/>
      <c r="J7" s="17"/>
      <c r="K7" s="17"/>
      <c r="L7" s="17"/>
      <c r="M7" s="15" t="s">
        <v>53</v>
      </c>
    </row>
    <row r="8" customFormat="false" ht="23.85" hidden="false" customHeight="false" outlineLevel="0" collapsed="false">
      <c r="A8" s="15" t="s">
        <v>74</v>
      </c>
      <c r="B8" s="15" t="s">
        <v>20</v>
      </c>
      <c r="C8" s="15" t="s">
        <v>75</v>
      </c>
      <c r="D8" s="15" t="s">
        <v>49</v>
      </c>
      <c r="E8" s="15" t="s">
        <v>76</v>
      </c>
      <c r="F8" s="15" t="s">
        <v>51</v>
      </c>
      <c r="G8" s="16" t="s">
        <v>77</v>
      </c>
      <c r="H8" s="17"/>
      <c r="I8" s="17"/>
      <c r="J8" s="17"/>
      <c r="K8" s="17"/>
      <c r="L8" s="17"/>
      <c r="M8" s="15" t="s">
        <v>53</v>
      </c>
    </row>
    <row r="9" customFormat="false" ht="23.85" hidden="false" customHeight="false" outlineLevel="0" collapsed="false">
      <c r="A9" s="15" t="s">
        <v>78</v>
      </c>
      <c r="B9" s="15" t="s">
        <v>20</v>
      </c>
      <c r="C9" s="15" t="s">
        <v>75</v>
      </c>
      <c r="D9" s="15" t="s">
        <v>49</v>
      </c>
      <c r="E9" s="15" t="s">
        <v>79</v>
      </c>
      <c r="F9" s="15" t="s">
        <v>51</v>
      </c>
      <c r="G9" s="16" t="s">
        <v>80</v>
      </c>
      <c r="H9" s="17"/>
      <c r="I9" s="17"/>
      <c r="J9" s="17"/>
      <c r="K9" s="17"/>
      <c r="L9" s="17"/>
      <c r="M9" s="15" t="s">
        <v>53</v>
      </c>
    </row>
    <row r="10" customFormat="false" ht="23.85" hidden="false" customHeight="false" outlineLevel="0" collapsed="false">
      <c r="A10" s="15" t="s">
        <v>81</v>
      </c>
      <c r="B10" s="15" t="s">
        <v>20</v>
      </c>
      <c r="C10" s="15" t="s">
        <v>75</v>
      </c>
      <c r="D10" s="15" t="s">
        <v>49</v>
      </c>
      <c r="E10" s="15" t="s">
        <v>82</v>
      </c>
      <c r="F10" s="15" t="s">
        <v>51</v>
      </c>
      <c r="G10" s="16" t="s">
        <v>83</v>
      </c>
      <c r="H10" s="17"/>
      <c r="I10" s="17"/>
      <c r="J10" s="17"/>
      <c r="K10" s="17"/>
      <c r="L10" s="17"/>
      <c r="M10" s="15" t="s">
        <v>53</v>
      </c>
    </row>
    <row r="11" customFormat="false" ht="35.05" hidden="false" customHeight="false" outlineLevel="0" collapsed="false">
      <c r="A11" s="15" t="s">
        <v>84</v>
      </c>
      <c r="B11" s="15" t="s">
        <v>20</v>
      </c>
      <c r="C11" s="15" t="s">
        <v>75</v>
      </c>
      <c r="D11" s="15" t="s">
        <v>49</v>
      </c>
      <c r="E11" s="15" t="s">
        <v>58</v>
      </c>
      <c r="F11" s="15" t="s">
        <v>59</v>
      </c>
      <c r="G11" s="16" t="s">
        <v>85</v>
      </c>
      <c r="H11" s="17"/>
      <c r="I11" s="17"/>
      <c r="J11" s="17"/>
      <c r="K11" s="17"/>
      <c r="L11" s="17"/>
      <c r="M11" s="15" t="s">
        <v>53</v>
      </c>
    </row>
    <row r="12" customFormat="false" ht="23.85" hidden="false" customHeight="false" outlineLevel="0" collapsed="false">
      <c r="A12" s="15" t="s">
        <v>86</v>
      </c>
      <c r="B12" s="15" t="s">
        <v>20</v>
      </c>
      <c r="C12" s="15" t="s">
        <v>75</v>
      </c>
      <c r="D12" s="15" t="s">
        <v>49</v>
      </c>
      <c r="E12" s="15" t="s">
        <v>87</v>
      </c>
      <c r="F12" s="15" t="s">
        <v>63</v>
      </c>
      <c r="G12" s="16" t="s">
        <v>88</v>
      </c>
      <c r="H12" s="17"/>
      <c r="I12" s="17"/>
      <c r="J12" s="17"/>
      <c r="K12" s="17"/>
      <c r="L12" s="17"/>
      <c r="M12" s="15" t="s">
        <v>53</v>
      </c>
    </row>
    <row r="13" customFormat="false" ht="15" hidden="false" customHeight="false" outlineLevel="0" collapsed="false">
      <c r="A13" s="15" t="s">
        <v>89</v>
      </c>
      <c r="B13" s="15" t="s">
        <v>66</v>
      </c>
      <c r="C13" s="15" t="s">
        <v>75</v>
      </c>
      <c r="D13" s="15" t="s">
        <v>49</v>
      </c>
      <c r="E13" s="15" t="s">
        <v>90</v>
      </c>
      <c r="F13" s="15" t="s">
        <v>68</v>
      </c>
      <c r="G13" s="16" t="s">
        <v>91</v>
      </c>
      <c r="H13" s="17"/>
      <c r="I13" s="17"/>
      <c r="J13" s="17"/>
      <c r="K13" s="17"/>
      <c r="L13" s="17"/>
      <c r="M13" s="15" t="s">
        <v>53</v>
      </c>
    </row>
    <row r="14" customFormat="false" ht="23.85" hidden="false" customHeight="false" outlineLevel="0" collapsed="false">
      <c r="A14" s="15" t="s">
        <v>92</v>
      </c>
      <c r="B14" s="15" t="s">
        <v>66</v>
      </c>
      <c r="C14" s="15" t="s">
        <v>75</v>
      </c>
      <c r="D14" s="15" t="s">
        <v>49</v>
      </c>
      <c r="E14" s="15" t="s">
        <v>93</v>
      </c>
      <c r="F14" s="15" t="s">
        <v>72</v>
      </c>
      <c r="G14" s="16" t="s">
        <v>94</v>
      </c>
      <c r="H14" s="17"/>
      <c r="I14" s="17"/>
      <c r="J14" s="17"/>
      <c r="K14" s="17"/>
      <c r="L14" s="17"/>
      <c r="M14" s="15" t="s">
        <v>53</v>
      </c>
    </row>
    <row r="15" customFormat="false" ht="23.85" hidden="false" customHeight="false" outlineLevel="0" collapsed="false">
      <c r="A15" s="15" t="s">
        <v>95</v>
      </c>
      <c r="B15" s="15" t="s">
        <v>96</v>
      </c>
      <c r="C15" s="15" t="s">
        <v>97</v>
      </c>
      <c r="D15" s="15" t="s">
        <v>98</v>
      </c>
      <c r="E15" s="15" t="s">
        <v>99</v>
      </c>
      <c r="F15" s="15" t="s">
        <v>100</v>
      </c>
      <c r="G15" s="16" t="s">
        <v>101</v>
      </c>
      <c r="H15" s="17"/>
      <c r="I15" s="17"/>
      <c r="J15" s="17"/>
      <c r="K15" s="17"/>
      <c r="L15" s="17"/>
      <c r="M15" s="15" t="s">
        <v>53</v>
      </c>
    </row>
    <row r="16" customFormat="false" ht="23.85" hidden="false" customHeight="false" outlineLevel="0" collapsed="false">
      <c r="A16" s="15" t="s">
        <v>102</v>
      </c>
      <c r="B16" s="15" t="s">
        <v>96</v>
      </c>
      <c r="C16" s="15" t="s">
        <v>97</v>
      </c>
      <c r="D16" s="15" t="s">
        <v>98</v>
      </c>
      <c r="E16" s="15" t="s">
        <v>103</v>
      </c>
      <c r="F16" s="15" t="s">
        <v>100</v>
      </c>
      <c r="G16" s="16" t="s">
        <v>104</v>
      </c>
      <c r="H16" s="17"/>
      <c r="I16" s="17"/>
      <c r="J16" s="17"/>
      <c r="K16" s="17"/>
      <c r="L16" s="17"/>
      <c r="M16" s="15" t="s">
        <v>53</v>
      </c>
    </row>
    <row r="17" customFormat="false" ht="23.85" hidden="false" customHeight="false" outlineLevel="0" collapsed="false">
      <c r="A17" s="15" t="s">
        <v>105</v>
      </c>
      <c r="B17" s="15" t="s">
        <v>96</v>
      </c>
      <c r="C17" s="15" t="s">
        <v>97</v>
      </c>
      <c r="D17" s="15" t="s">
        <v>98</v>
      </c>
      <c r="E17" s="15" t="s">
        <v>106</v>
      </c>
      <c r="F17" s="15" t="s">
        <v>100</v>
      </c>
      <c r="G17" s="16" t="s">
        <v>107</v>
      </c>
      <c r="H17" s="17"/>
      <c r="I17" s="17"/>
      <c r="J17" s="17"/>
      <c r="K17" s="17"/>
      <c r="L17" s="17"/>
      <c r="M17" s="15" t="s">
        <v>53</v>
      </c>
    </row>
    <row r="18" customFormat="false" ht="23.85" hidden="false" customHeight="false" outlineLevel="0" collapsed="false">
      <c r="A18" s="15" t="s">
        <v>108</v>
      </c>
      <c r="B18" s="15" t="s">
        <v>20</v>
      </c>
      <c r="C18" s="15" t="s">
        <v>97</v>
      </c>
      <c r="D18" s="15" t="s">
        <v>98</v>
      </c>
      <c r="E18" s="15" t="s">
        <v>109</v>
      </c>
      <c r="F18" s="15" t="s">
        <v>110</v>
      </c>
      <c r="G18" s="16" t="s">
        <v>111</v>
      </c>
      <c r="H18" s="17"/>
      <c r="I18" s="17"/>
      <c r="J18" s="17"/>
      <c r="K18" s="17"/>
      <c r="L18" s="17"/>
      <c r="M18" s="15" t="s">
        <v>53</v>
      </c>
    </row>
    <row r="19" customFormat="false" ht="23.85" hidden="false" customHeight="false" outlineLevel="0" collapsed="false">
      <c r="A19" s="15" t="s">
        <v>112</v>
      </c>
      <c r="B19" s="15" t="s">
        <v>20</v>
      </c>
      <c r="C19" s="15" t="s">
        <v>97</v>
      </c>
      <c r="D19" s="15" t="s">
        <v>98</v>
      </c>
      <c r="E19" s="15" t="s">
        <v>113</v>
      </c>
      <c r="F19" s="15" t="s">
        <v>114</v>
      </c>
      <c r="G19" s="16" t="s">
        <v>115</v>
      </c>
      <c r="H19" s="17"/>
      <c r="I19" s="17"/>
      <c r="J19" s="17"/>
      <c r="K19" s="17"/>
      <c r="L19" s="17"/>
      <c r="M19" s="15" t="s">
        <v>53</v>
      </c>
    </row>
    <row r="20" customFormat="false" ht="23.85" hidden="false" customHeight="false" outlineLevel="0" collapsed="false">
      <c r="A20" s="15" t="s">
        <v>116</v>
      </c>
      <c r="B20" s="15" t="s">
        <v>20</v>
      </c>
      <c r="C20" s="15" t="s">
        <v>97</v>
      </c>
      <c r="D20" s="15" t="s">
        <v>98</v>
      </c>
      <c r="E20" s="15" t="s">
        <v>117</v>
      </c>
      <c r="F20" s="15" t="s">
        <v>118</v>
      </c>
      <c r="G20" s="16" t="s">
        <v>119</v>
      </c>
      <c r="H20" s="17"/>
      <c r="I20" s="17"/>
      <c r="J20" s="17"/>
      <c r="K20" s="17"/>
      <c r="L20" s="17"/>
      <c r="M20" s="15" t="s">
        <v>53</v>
      </c>
    </row>
    <row r="21" customFormat="false" ht="23.85" hidden="false" customHeight="false" outlineLevel="0" collapsed="false">
      <c r="A21" s="15" t="s">
        <v>120</v>
      </c>
      <c r="B21" s="15" t="s">
        <v>20</v>
      </c>
      <c r="C21" s="15" t="s">
        <v>97</v>
      </c>
      <c r="D21" s="15" t="s">
        <v>98</v>
      </c>
      <c r="E21" s="15" t="s">
        <v>121</v>
      </c>
      <c r="F21" s="15" t="s">
        <v>122</v>
      </c>
      <c r="G21" s="16" t="s">
        <v>123</v>
      </c>
      <c r="H21" s="17"/>
      <c r="I21" s="17"/>
      <c r="J21" s="17"/>
      <c r="K21" s="17"/>
      <c r="L21" s="17"/>
      <c r="M21" s="15" t="s">
        <v>53</v>
      </c>
    </row>
    <row r="22" customFormat="false" ht="23.85" hidden="false" customHeight="false" outlineLevel="0" collapsed="false">
      <c r="A22" s="15" t="s">
        <v>124</v>
      </c>
      <c r="B22" s="15" t="s">
        <v>66</v>
      </c>
      <c r="C22" s="15" t="s">
        <v>97</v>
      </c>
      <c r="D22" s="15" t="s">
        <v>98</v>
      </c>
      <c r="E22" s="15" t="s">
        <v>125</v>
      </c>
      <c r="F22" s="15" t="s">
        <v>68</v>
      </c>
      <c r="G22" s="16" t="s">
        <v>126</v>
      </c>
      <c r="H22" s="17"/>
      <c r="I22" s="17"/>
      <c r="J22" s="17"/>
      <c r="K22" s="17"/>
      <c r="L22" s="17"/>
      <c r="M22" s="15" t="s">
        <v>53</v>
      </c>
    </row>
    <row r="23" customFormat="false" ht="23.85" hidden="false" customHeight="false" outlineLevel="0" collapsed="false">
      <c r="A23" s="15" t="s">
        <v>127</v>
      </c>
      <c r="B23" s="15" t="s">
        <v>66</v>
      </c>
      <c r="C23" s="15" t="s">
        <v>97</v>
      </c>
      <c r="D23" s="15" t="s">
        <v>98</v>
      </c>
      <c r="E23" s="15" t="s">
        <v>128</v>
      </c>
      <c r="F23" s="15" t="s">
        <v>129</v>
      </c>
      <c r="G23" s="16" t="s">
        <v>130</v>
      </c>
      <c r="H23" s="17"/>
      <c r="I23" s="17"/>
      <c r="J23" s="17"/>
      <c r="K23" s="17"/>
      <c r="L23" s="17"/>
      <c r="M23" s="15" t="s">
        <v>53</v>
      </c>
    </row>
    <row r="24" customFormat="false" ht="35.05" hidden="false" customHeight="false" outlineLevel="0" collapsed="false">
      <c r="A24" s="15" t="s">
        <v>131</v>
      </c>
      <c r="B24" s="15" t="s">
        <v>132</v>
      </c>
      <c r="C24" s="15" t="s">
        <v>97</v>
      </c>
      <c r="D24" s="15" t="s">
        <v>98</v>
      </c>
      <c r="E24" s="15" t="s">
        <v>133</v>
      </c>
      <c r="F24" s="15" t="s">
        <v>134</v>
      </c>
      <c r="G24" s="16" t="s">
        <v>135</v>
      </c>
      <c r="H24" s="17"/>
      <c r="I24" s="17"/>
      <c r="J24" s="17"/>
      <c r="K24" s="17"/>
      <c r="L24" s="17"/>
      <c r="M24" s="15" t="s">
        <v>53</v>
      </c>
    </row>
    <row r="25" customFormat="false" ht="35.05" hidden="false" customHeight="false" outlineLevel="0" collapsed="false">
      <c r="A25" s="15" t="s">
        <v>136</v>
      </c>
      <c r="B25" s="15" t="s">
        <v>66</v>
      </c>
      <c r="C25" s="15" t="s">
        <v>97</v>
      </c>
      <c r="D25" s="15" t="s">
        <v>98</v>
      </c>
      <c r="E25" s="15" t="s">
        <v>137</v>
      </c>
      <c r="F25" s="15" t="s">
        <v>72</v>
      </c>
      <c r="G25" s="16" t="s">
        <v>138</v>
      </c>
      <c r="H25" s="17"/>
      <c r="I25" s="17"/>
      <c r="J25" s="17"/>
      <c r="K25" s="17"/>
      <c r="L25" s="17"/>
      <c r="M25" s="15" t="s">
        <v>53</v>
      </c>
    </row>
    <row r="26" customFormat="false" ht="23.85" hidden="false" customHeight="false" outlineLevel="0" collapsed="false">
      <c r="A26" s="15" t="s">
        <v>139</v>
      </c>
      <c r="B26" s="15" t="s">
        <v>96</v>
      </c>
      <c r="C26" s="15" t="s">
        <v>140</v>
      </c>
      <c r="D26" s="15" t="s">
        <v>141</v>
      </c>
      <c r="E26" s="15" t="s">
        <v>142</v>
      </c>
      <c r="F26" s="15" t="s">
        <v>100</v>
      </c>
      <c r="G26" s="16" t="s">
        <v>143</v>
      </c>
      <c r="H26" s="17"/>
      <c r="I26" s="17"/>
      <c r="J26" s="17"/>
      <c r="K26" s="17"/>
      <c r="L26" s="17"/>
      <c r="M26" s="15" t="s">
        <v>53</v>
      </c>
    </row>
    <row r="27" customFormat="false" ht="23.85" hidden="false" customHeight="false" outlineLevel="0" collapsed="false">
      <c r="A27" s="15" t="s">
        <v>144</v>
      </c>
      <c r="B27" s="15" t="s">
        <v>96</v>
      </c>
      <c r="C27" s="15" t="s">
        <v>140</v>
      </c>
      <c r="D27" s="15" t="s">
        <v>141</v>
      </c>
      <c r="E27" s="15" t="s">
        <v>145</v>
      </c>
      <c r="F27" s="15" t="s">
        <v>100</v>
      </c>
      <c r="G27" s="16" t="s">
        <v>146</v>
      </c>
      <c r="H27" s="17"/>
      <c r="I27" s="17"/>
      <c r="J27" s="17"/>
      <c r="K27" s="17"/>
      <c r="L27" s="17"/>
      <c r="M27" s="15" t="s">
        <v>53</v>
      </c>
    </row>
    <row r="28" customFormat="false" ht="23.85" hidden="false" customHeight="false" outlineLevel="0" collapsed="false">
      <c r="A28" s="15" t="s">
        <v>147</v>
      </c>
      <c r="B28" s="15" t="s">
        <v>96</v>
      </c>
      <c r="C28" s="15" t="s">
        <v>140</v>
      </c>
      <c r="D28" s="15" t="s">
        <v>141</v>
      </c>
      <c r="E28" s="15" t="s">
        <v>148</v>
      </c>
      <c r="F28" s="15" t="s">
        <v>100</v>
      </c>
      <c r="G28" s="16" t="s">
        <v>149</v>
      </c>
      <c r="H28" s="17"/>
      <c r="I28" s="17"/>
      <c r="J28" s="17"/>
      <c r="K28" s="17"/>
      <c r="L28" s="17"/>
      <c r="M28" s="15" t="s">
        <v>53</v>
      </c>
    </row>
    <row r="29" customFormat="false" ht="23.85" hidden="false" customHeight="false" outlineLevel="0" collapsed="false">
      <c r="A29" s="15" t="s">
        <v>150</v>
      </c>
      <c r="B29" s="15" t="s">
        <v>20</v>
      </c>
      <c r="C29" s="15" t="s">
        <v>140</v>
      </c>
      <c r="D29" s="15" t="s">
        <v>141</v>
      </c>
      <c r="E29" s="15" t="s">
        <v>151</v>
      </c>
      <c r="F29" s="15" t="s">
        <v>152</v>
      </c>
      <c r="G29" s="16" t="s">
        <v>153</v>
      </c>
      <c r="H29" s="17"/>
      <c r="I29" s="17"/>
      <c r="J29" s="17"/>
      <c r="K29" s="17"/>
      <c r="L29" s="17"/>
      <c r="M29" s="15" t="s">
        <v>53</v>
      </c>
    </row>
    <row r="30" customFormat="false" ht="35.05" hidden="false" customHeight="false" outlineLevel="0" collapsed="false">
      <c r="A30" s="15" t="s">
        <v>154</v>
      </c>
      <c r="B30" s="15" t="s">
        <v>66</v>
      </c>
      <c r="C30" s="15" t="s">
        <v>140</v>
      </c>
      <c r="D30" s="15" t="s">
        <v>141</v>
      </c>
      <c r="E30" s="15" t="s">
        <v>155</v>
      </c>
      <c r="F30" s="15" t="s">
        <v>156</v>
      </c>
      <c r="G30" s="16" t="s">
        <v>157</v>
      </c>
      <c r="H30" s="17"/>
      <c r="I30" s="17"/>
      <c r="J30" s="17"/>
      <c r="K30" s="17"/>
      <c r="L30" s="17"/>
      <c r="M30" s="15" t="s">
        <v>53</v>
      </c>
    </row>
    <row r="31" customFormat="false" ht="35.05" hidden="false" customHeight="false" outlineLevel="0" collapsed="false">
      <c r="A31" s="15" t="s">
        <v>158</v>
      </c>
      <c r="B31" s="15" t="s">
        <v>132</v>
      </c>
      <c r="C31" s="15" t="s">
        <v>140</v>
      </c>
      <c r="D31" s="15" t="s">
        <v>141</v>
      </c>
      <c r="E31" s="15" t="s">
        <v>159</v>
      </c>
      <c r="F31" s="15" t="s">
        <v>160</v>
      </c>
      <c r="G31" s="16" t="s">
        <v>161</v>
      </c>
      <c r="H31" s="17"/>
      <c r="I31" s="17"/>
      <c r="J31" s="17"/>
      <c r="K31" s="17"/>
      <c r="L31" s="17"/>
      <c r="M31" s="15" t="s">
        <v>53</v>
      </c>
    </row>
    <row r="32" customFormat="false" ht="35.05" hidden="false" customHeight="false" outlineLevel="0" collapsed="false">
      <c r="A32" s="15" t="s">
        <v>162</v>
      </c>
      <c r="B32" s="15" t="s">
        <v>96</v>
      </c>
      <c r="C32" s="15" t="s">
        <v>163</v>
      </c>
      <c r="D32" s="15" t="s">
        <v>141</v>
      </c>
      <c r="E32" s="15" t="s">
        <v>164</v>
      </c>
      <c r="F32" s="15" t="s">
        <v>100</v>
      </c>
      <c r="G32" s="16" t="s">
        <v>165</v>
      </c>
      <c r="H32" s="17"/>
      <c r="I32" s="17"/>
      <c r="J32" s="17"/>
      <c r="K32" s="17"/>
      <c r="L32" s="17"/>
      <c r="M32" s="15" t="s">
        <v>53</v>
      </c>
    </row>
    <row r="33" customFormat="false" ht="35.05" hidden="false" customHeight="false" outlineLevel="0" collapsed="false">
      <c r="A33" s="15" t="s">
        <v>166</v>
      </c>
      <c r="B33" s="15" t="s">
        <v>96</v>
      </c>
      <c r="C33" s="15" t="s">
        <v>163</v>
      </c>
      <c r="D33" s="15" t="s">
        <v>141</v>
      </c>
      <c r="E33" s="15" t="s">
        <v>167</v>
      </c>
      <c r="F33" s="15" t="s">
        <v>100</v>
      </c>
      <c r="G33" s="16" t="s">
        <v>168</v>
      </c>
      <c r="H33" s="17"/>
      <c r="I33" s="17"/>
      <c r="J33" s="17"/>
      <c r="K33" s="17"/>
      <c r="L33" s="17"/>
      <c r="M33" s="15" t="s">
        <v>53</v>
      </c>
    </row>
    <row r="34" customFormat="false" ht="35.05" hidden="false" customHeight="false" outlineLevel="0" collapsed="false">
      <c r="A34" s="15" t="s">
        <v>169</v>
      </c>
      <c r="B34" s="15" t="s">
        <v>96</v>
      </c>
      <c r="C34" s="15" t="s">
        <v>163</v>
      </c>
      <c r="D34" s="15" t="s">
        <v>141</v>
      </c>
      <c r="E34" s="15" t="s">
        <v>170</v>
      </c>
      <c r="F34" s="15" t="s">
        <v>100</v>
      </c>
      <c r="G34" s="16" t="s">
        <v>171</v>
      </c>
      <c r="H34" s="17"/>
      <c r="I34" s="17"/>
      <c r="J34" s="17"/>
      <c r="K34" s="17"/>
      <c r="L34" s="17"/>
      <c r="M34" s="15" t="s">
        <v>53</v>
      </c>
    </row>
    <row r="35" customFormat="false" ht="35.05" hidden="false" customHeight="false" outlineLevel="0" collapsed="false">
      <c r="A35" s="15" t="s">
        <v>172</v>
      </c>
      <c r="B35" s="15" t="s">
        <v>20</v>
      </c>
      <c r="C35" s="15" t="s">
        <v>163</v>
      </c>
      <c r="D35" s="15" t="s">
        <v>141</v>
      </c>
      <c r="E35" s="15" t="s">
        <v>173</v>
      </c>
      <c r="F35" s="15" t="s">
        <v>174</v>
      </c>
      <c r="G35" s="16" t="s">
        <v>175</v>
      </c>
      <c r="H35" s="17"/>
      <c r="I35" s="17"/>
      <c r="J35" s="17"/>
      <c r="K35" s="17"/>
      <c r="L35" s="17"/>
      <c r="M35" s="15" t="s">
        <v>53</v>
      </c>
    </row>
    <row r="36" customFormat="false" ht="35.05" hidden="false" customHeight="false" outlineLevel="0" collapsed="false">
      <c r="A36" s="15" t="s">
        <v>176</v>
      </c>
      <c r="B36" s="15" t="s">
        <v>20</v>
      </c>
      <c r="C36" s="15" t="s">
        <v>163</v>
      </c>
      <c r="D36" s="15" t="s">
        <v>141</v>
      </c>
      <c r="E36" s="15" t="s">
        <v>177</v>
      </c>
      <c r="F36" s="15" t="s">
        <v>152</v>
      </c>
      <c r="G36" s="16" t="s">
        <v>178</v>
      </c>
      <c r="H36" s="17"/>
      <c r="I36" s="17"/>
      <c r="J36" s="17"/>
      <c r="K36" s="17"/>
      <c r="L36" s="17"/>
      <c r="M36" s="15" t="s">
        <v>53</v>
      </c>
    </row>
    <row r="37" customFormat="false" ht="35.05" hidden="false" customHeight="false" outlineLevel="0" collapsed="false">
      <c r="A37" s="15" t="s">
        <v>179</v>
      </c>
      <c r="B37" s="15" t="s">
        <v>66</v>
      </c>
      <c r="C37" s="15" t="s">
        <v>163</v>
      </c>
      <c r="D37" s="15" t="s">
        <v>141</v>
      </c>
      <c r="E37" s="15" t="s">
        <v>180</v>
      </c>
      <c r="F37" s="15" t="s">
        <v>156</v>
      </c>
      <c r="G37" s="16" t="s">
        <v>181</v>
      </c>
      <c r="H37" s="17"/>
      <c r="I37" s="17"/>
      <c r="J37" s="17"/>
      <c r="K37" s="17"/>
      <c r="L37" s="17"/>
      <c r="M37" s="15" t="s">
        <v>53</v>
      </c>
    </row>
    <row r="38" customFormat="false" ht="35.05" hidden="false" customHeight="false" outlineLevel="0" collapsed="false">
      <c r="A38" s="15" t="s">
        <v>182</v>
      </c>
      <c r="B38" s="15" t="s">
        <v>132</v>
      </c>
      <c r="C38" s="15" t="s">
        <v>163</v>
      </c>
      <c r="D38" s="15" t="s">
        <v>141</v>
      </c>
      <c r="E38" s="15" t="s">
        <v>183</v>
      </c>
      <c r="F38" s="15" t="s">
        <v>160</v>
      </c>
      <c r="G38" s="16" t="s">
        <v>184</v>
      </c>
      <c r="H38" s="17"/>
      <c r="I38" s="17"/>
      <c r="J38" s="17"/>
      <c r="K38" s="17"/>
      <c r="L38" s="17"/>
      <c r="M38" s="15" t="s">
        <v>53</v>
      </c>
    </row>
    <row r="39" customFormat="false" ht="23.85" hidden="false" customHeight="false" outlineLevel="0" collapsed="false">
      <c r="A39" s="15" t="s">
        <v>185</v>
      </c>
      <c r="B39" s="15" t="s">
        <v>96</v>
      </c>
      <c r="C39" s="15" t="s">
        <v>186</v>
      </c>
      <c r="D39" s="15" t="s">
        <v>187</v>
      </c>
      <c r="E39" s="15" t="s">
        <v>188</v>
      </c>
      <c r="F39" s="15" t="s">
        <v>100</v>
      </c>
      <c r="G39" s="16" t="s">
        <v>189</v>
      </c>
      <c r="H39" s="17"/>
      <c r="I39" s="17"/>
      <c r="J39" s="17"/>
      <c r="K39" s="17"/>
      <c r="L39" s="17"/>
      <c r="M39" s="15" t="s">
        <v>53</v>
      </c>
    </row>
    <row r="40" customFormat="false" ht="23.85" hidden="false" customHeight="false" outlineLevel="0" collapsed="false">
      <c r="A40" s="15" t="s">
        <v>190</v>
      </c>
      <c r="B40" s="15" t="s">
        <v>96</v>
      </c>
      <c r="C40" s="15" t="s">
        <v>186</v>
      </c>
      <c r="D40" s="15" t="s">
        <v>187</v>
      </c>
      <c r="E40" s="15" t="s">
        <v>191</v>
      </c>
      <c r="F40" s="15" t="s">
        <v>100</v>
      </c>
      <c r="G40" s="16" t="s">
        <v>192</v>
      </c>
      <c r="H40" s="17"/>
      <c r="I40" s="17"/>
      <c r="J40" s="17"/>
      <c r="K40" s="17"/>
      <c r="L40" s="17"/>
      <c r="M40" s="15" t="s">
        <v>53</v>
      </c>
    </row>
    <row r="41" customFormat="false" ht="23.85" hidden="false" customHeight="false" outlineLevel="0" collapsed="false">
      <c r="A41" s="15" t="s">
        <v>193</v>
      </c>
      <c r="B41" s="15" t="s">
        <v>96</v>
      </c>
      <c r="C41" s="15" t="s">
        <v>186</v>
      </c>
      <c r="D41" s="15" t="s">
        <v>187</v>
      </c>
      <c r="E41" s="15" t="s">
        <v>194</v>
      </c>
      <c r="F41" s="15" t="s">
        <v>100</v>
      </c>
      <c r="G41" s="16" t="s">
        <v>195</v>
      </c>
      <c r="H41" s="17"/>
      <c r="I41" s="17"/>
      <c r="J41" s="17"/>
      <c r="K41" s="17"/>
      <c r="L41" s="17"/>
      <c r="M41" s="15" t="s">
        <v>53</v>
      </c>
    </row>
    <row r="42" customFormat="false" ht="23.85" hidden="false" customHeight="false" outlineLevel="0" collapsed="false">
      <c r="A42" s="15" t="s">
        <v>196</v>
      </c>
      <c r="B42" s="15" t="s">
        <v>20</v>
      </c>
      <c r="C42" s="15" t="s">
        <v>186</v>
      </c>
      <c r="D42" s="15" t="s">
        <v>187</v>
      </c>
      <c r="E42" s="15" t="s">
        <v>197</v>
      </c>
      <c r="F42" s="15" t="s">
        <v>198</v>
      </c>
      <c r="G42" s="16" t="s">
        <v>199</v>
      </c>
      <c r="H42" s="17"/>
      <c r="I42" s="17"/>
      <c r="J42" s="17"/>
      <c r="K42" s="17"/>
      <c r="L42" s="17"/>
      <c r="M42" s="15" t="s">
        <v>53</v>
      </c>
    </row>
    <row r="43" customFormat="false" ht="23.85" hidden="false" customHeight="false" outlineLevel="0" collapsed="false">
      <c r="A43" s="15" t="s">
        <v>200</v>
      </c>
      <c r="B43" s="15" t="s">
        <v>20</v>
      </c>
      <c r="C43" s="15" t="s">
        <v>186</v>
      </c>
      <c r="D43" s="15" t="s">
        <v>187</v>
      </c>
      <c r="E43" s="15" t="s">
        <v>201</v>
      </c>
      <c r="F43" s="15" t="s">
        <v>202</v>
      </c>
      <c r="G43" s="16" t="s">
        <v>203</v>
      </c>
      <c r="H43" s="17"/>
      <c r="I43" s="17"/>
      <c r="J43" s="17"/>
      <c r="K43" s="17"/>
      <c r="L43" s="17"/>
      <c r="M43" s="15" t="s">
        <v>53</v>
      </c>
    </row>
    <row r="44" customFormat="false" ht="23.85" hidden="false" customHeight="false" outlineLevel="0" collapsed="false">
      <c r="A44" s="15" t="s">
        <v>204</v>
      </c>
      <c r="B44" s="15" t="s">
        <v>66</v>
      </c>
      <c r="C44" s="15" t="s">
        <v>186</v>
      </c>
      <c r="D44" s="15" t="s">
        <v>187</v>
      </c>
      <c r="E44" s="15" t="s">
        <v>205</v>
      </c>
      <c r="F44" s="15" t="s">
        <v>72</v>
      </c>
      <c r="G44" s="16" t="s">
        <v>206</v>
      </c>
      <c r="H44" s="17"/>
      <c r="I44" s="17"/>
      <c r="J44" s="17"/>
      <c r="K44" s="17"/>
      <c r="L44" s="17"/>
      <c r="M44" s="15" t="s">
        <v>53</v>
      </c>
    </row>
    <row r="45" customFormat="false" ht="35.05" hidden="false" customHeight="false" outlineLevel="0" collapsed="false">
      <c r="A45" s="15" t="s">
        <v>207</v>
      </c>
      <c r="B45" s="15" t="s">
        <v>96</v>
      </c>
      <c r="C45" s="15" t="s">
        <v>208</v>
      </c>
      <c r="D45" s="15" t="s">
        <v>209</v>
      </c>
      <c r="E45" s="15" t="s">
        <v>210</v>
      </c>
      <c r="F45" s="15" t="s">
        <v>100</v>
      </c>
      <c r="G45" s="16" t="s">
        <v>211</v>
      </c>
      <c r="H45" s="17"/>
      <c r="I45" s="17"/>
      <c r="J45" s="17"/>
      <c r="K45" s="17"/>
      <c r="L45" s="17"/>
      <c r="M45" s="15" t="s">
        <v>53</v>
      </c>
    </row>
    <row r="46" customFormat="false" ht="35.05" hidden="false" customHeight="false" outlineLevel="0" collapsed="false">
      <c r="A46" s="15" t="s">
        <v>212</v>
      </c>
      <c r="B46" s="15" t="s">
        <v>96</v>
      </c>
      <c r="C46" s="15" t="s">
        <v>208</v>
      </c>
      <c r="D46" s="15" t="s">
        <v>209</v>
      </c>
      <c r="E46" s="15" t="s">
        <v>213</v>
      </c>
      <c r="F46" s="15" t="s">
        <v>100</v>
      </c>
      <c r="G46" s="16" t="s">
        <v>214</v>
      </c>
      <c r="H46" s="17"/>
      <c r="I46" s="17"/>
      <c r="J46" s="17"/>
      <c r="K46" s="17"/>
      <c r="L46" s="17"/>
      <c r="M46" s="15" t="s">
        <v>53</v>
      </c>
    </row>
    <row r="47" customFormat="false" ht="35.05" hidden="false" customHeight="false" outlineLevel="0" collapsed="false">
      <c r="A47" s="15" t="s">
        <v>215</v>
      </c>
      <c r="B47" s="15" t="s">
        <v>96</v>
      </c>
      <c r="C47" s="15" t="s">
        <v>208</v>
      </c>
      <c r="D47" s="15" t="s">
        <v>209</v>
      </c>
      <c r="E47" s="15" t="s">
        <v>216</v>
      </c>
      <c r="F47" s="15" t="s">
        <v>100</v>
      </c>
      <c r="G47" s="16" t="s">
        <v>217</v>
      </c>
      <c r="H47" s="17"/>
      <c r="I47" s="17"/>
      <c r="J47" s="17"/>
      <c r="K47" s="17"/>
      <c r="L47" s="17"/>
      <c r="M47" s="15" t="s">
        <v>53</v>
      </c>
    </row>
    <row r="48" customFormat="false" ht="35.05" hidden="false" customHeight="false" outlineLevel="0" collapsed="false">
      <c r="A48" s="15" t="s">
        <v>218</v>
      </c>
      <c r="B48" s="15" t="s">
        <v>66</v>
      </c>
      <c r="C48" s="15" t="s">
        <v>208</v>
      </c>
      <c r="D48" s="15" t="s">
        <v>209</v>
      </c>
      <c r="E48" s="15" t="s">
        <v>219</v>
      </c>
      <c r="F48" s="15" t="s">
        <v>220</v>
      </c>
      <c r="G48" s="16" t="s">
        <v>221</v>
      </c>
      <c r="H48" s="17"/>
      <c r="I48" s="17"/>
      <c r="J48" s="17"/>
      <c r="K48" s="17"/>
      <c r="L48" s="17"/>
      <c r="M48" s="15" t="s">
        <v>53</v>
      </c>
    </row>
    <row r="49" customFormat="false" ht="35.05" hidden="false" customHeight="false" outlineLevel="0" collapsed="false">
      <c r="A49" s="15" t="s">
        <v>222</v>
      </c>
      <c r="B49" s="15" t="s">
        <v>66</v>
      </c>
      <c r="C49" s="15" t="s">
        <v>208</v>
      </c>
      <c r="D49" s="15" t="s">
        <v>209</v>
      </c>
      <c r="E49" s="15" t="s">
        <v>223</v>
      </c>
      <c r="F49" s="15" t="s">
        <v>72</v>
      </c>
      <c r="G49" s="16" t="s">
        <v>224</v>
      </c>
      <c r="H49" s="17"/>
      <c r="I49" s="17"/>
      <c r="J49" s="17"/>
      <c r="K49" s="17"/>
      <c r="L49" s="17"/>
      <c r="M49" s="15" t="s">
        <v>53</v>
      </c>
    </row>
    <row r="50" customFormat="false" ht="23.85" hidden="false" customHeight="false" outlineLevel="0" collapsed="false">
      <c r="A50" s="15" t="s">
        <v>225</v>
      </c>
      <c r="B50" s="15" t="s">
        <v>20</v>
      </c>
      <c r="C50" s="15" t="s">
        <v>21</v>
      </c>
      <c r="D50" s="15" t="s">
        <v>209</v>
      </c>
      <c r="E50" s="15" t="s">
        <v>226</v>
      </c>
      <c r="F50" s="15" t="s">
        <v>227</v>
      </c>
      <c r="G50" s="16" t="s">
        <v>228</v>
      </c>
      <c r="H50" s="17"/>
      <c r="I50" s="17"/>
      <c r="J50" s="17"/>
      <c r="K50" s="17"/>
      <c r="L50" s="17"/>
      <c r="M50" s="15" t="s">
        <v>53</v>
      </c>
    </row>
    <row r="51" customFormat="false" ht="23.85" hidden="false" customHeight="false" outlineLevel="0" collapsed="false">
      <c r="A51" s="15" t="s">
        <v>229</v>
      </c>
      <c r="B51" s="15" t="s">
        <v>20</v>
      </c>
      <c r="C51" s="15" t="s">
        <v>21</v>
      </c>
      <c r="D51" s="15" t="s">
        <v>209</v>
      </c>
      <c r="E51" s="15" t="s">
        <v>230</v>
      </c>
      <c r="F51" s="15" t="s">
        <v>227</v>
      </c>
      <c r="G51" s="16" t="s">
        <v>231</v>
      </c>
      <c r="H51" s="17"/>
      <c r="I51" s="17"/>
      <c r="J51" s="17"/>
      <c r="K51" s="17"/>
      <c r="L51" s="17"/>
      <c r="M51" s="15" t="s">
        <v>53</v>
      </c>
    </row>
    <row r="52" customFormat="false" ht="23.85" hidden="false" customHeight="false" outlineLevel="0" collapsed="false">
      <c r="A52" s="15" t="s">
        <v>232</v>
      </c>
      <c r="B52" s="15" t="s">
        <v>20</v>
      </c>
      <c r="C52" s="15" t="s">
        <v>21</v>
      </c>
      <c r="D52" s="15" t="s">
        <v>209</v>
      </c>
      <c r="E52" s="15" t="s">
        <v>233</v>
      </c>
      <c r="F52" s="15" t="s">
        <v>234</v>
      </c>
      <c r="G52" s="16" t="s">
        <v>235</v>
      </c>
      <c r="H52" s="17"/>
      <c r="I52" s="17"/>
      <c r="J52" s="17"/>
      <c r="K52" s="17"/>
      <c r="L52" s="17"/>
      <c r="M52" s="15" t="s">
        <v>53</v>
      </c>
    </row>
    <row r="53" customFormat="false" ht="35.05" hidden="false" customHeight="false" outlineLevel="0" collapsed="false">
      <c r="A53" s="15" t="s">
        <v>236</v>
      </c>
      <c r="B53" s="15" t="s">
        <v>20</v>
      </c>
      <c r="C53" s="15" t="s">
        <v>21</v>
      </c>
      <c r="D53" s="15" t="s">
        <v>209</v>
      </c>
      <c r="E53" s="15" t="s">
        <v>22</v>
      </c>
      <c r="F53" s="15" t="s">
        <v>237</v>
      </c>
      <c r="G53" s="16" t="s">
        <v>238</v>
      </c>
      <c r="H53" s="17"/>
      <c r="I53" s="17"/>
      <c r="J53" s="17"/>
      <c r="K53" s="17"/>
      <c r="L53" s="17"/>
      <c r="M53" s="15" t="s">
        <v>53</v>
      </c>
    </row>
    <row r="54" customFormat="false" ht="35.05" hidden="false" customHeight="false" outlineLevel="0" collapsed="false">
      <c r="A54" s="15" t="s">
        <v>239</v>
      </c>
      <c r="B54" s="15" t="s">
        <v>20</v>
      </c>
      <c r="C54" s="15" t="s">
        <v>21</v>
      </c>
      <c r="D54" s="15" t="s">
        <v>209</v>
      </c>
      <c r="E54" s="15" t="s">
        <v>240</v>
      </c>
      <c r="F54" s="15" t="s">
        <v>241</v>
      </c>
      <c r="G54" s="16" t="s">
        <v>242</v>
      </c>
      <c r="H54" s="17"/>
      <c r="I54" s="17"/>
      <c r="J54" s="17"/>
      <c r="K54" s="17"/>
      <c r="L54" s="17"/>
      <c r="M54" s="15" t="s">
        <v>53</v>
      </c>
    </row>
    <row r="55" customFormat="false" ht="23.85" hidden="false" customHeight="false" outlineLevel="0" collapsed="false">
      <c r="A55" s="15" t="s">
        <v>243</v>
      </c>
      <c r="B55" s="15" t="s">
        <v>20</v>
      </c>
      <c r="C55" s="15" t="s">
        <v>21</v>
      </c>
      <c r="D55" s="15" t="s">
        <v>209</v>
      </c>
      <c r="E55" s="15" t="s">
        <v>244</v>
      </c>
      <c r="F55" s="15" t="s">
        <v>245</v>
      </c>
      <c r="G55" s="16" t="s">
        <v>246</v>
      </c>
      <c r="H55" s="17"/>
      <c r="I55" s="17"/>
      <c r="J55" s="17"/>
      <c r="K55" s="17"/>
      <c r="L55" s="17"/>
      <c r="M55" s="15" t="s">
        <v>53</v>
      </c>
    </row>
    <row r="56" customFormat="false" ht="35.05" hidden="false" customHeight="false" outlineLevel="0" collapsed="false">
      <c r="A56" s="15" t="s">
        <v>247</v>
      </c>
      <c r="B56" s="15" t="s">
        <v>20</v>
      </c>
      <c r="C56" s="15" t="s">
        <v>21</v>
      </c>
      <c r="D56" s="15" t="s">
        <v>209</v>
      </c>
      <c r="E56" s="15" t="s">
        <v>248</v>
      </c>
      <c r="F56" s="15" t="s">
        <v>249</v>
      </c>
      <c r="G56" s="16" t="s">
        <v>250</v>
      </c>
      <c r="H56" s="17"/>
      <c r="I56" s="17"/>
      <c r="J56" s="17"/>
      <c r="K56" s="17"/>
      <c r="L56" s="17"/>
      <c r="M56" s="15" t="s">
        <v>53</v>
      </c>
    </row>
    <row r="57" customFormat="false" ht="35.05" hidden="false" customHeight="false" outlineLevel="0" collapsed="false">
      <c r="A57" s="15" t="s">
        <v>251</v>
      </c>
      <c r="B57" s="15" t="s">
        <v>20</v>
      </c>
      <c r="C57" s="15" t="s">
        <v>21</v>
      </c>
      <c r="D57" s="15" t="s">
        <v>209</v>
      </c>
      <c r="E57" s="15" t="s">
        <v>252</v>
      </c>
      <c r="F57" s="15" t="s">
        <v>253</v>
      </c>
      <c r="G57" s="16" t="s">
        <v>254</v>
      </c>
      <c r="H57" s="17"/>
      <c r="I57" s="17"/>
      <c r="J57" s="17"/>
      <c r="K57" s="17"/>
      <c r="L57" s="17"/>
      <c r="M57" s="15" t="s">
        <v>53</v>
      </c>
    </row>
    <row r="58" customFormat="false" ht="23.85" hidden="false" customHeight="false" outlineLevel="0" collapsed="false">
      <c r="A58" s="15" t="s">
        <v>255</v>
      </c>
      <c r="B58" s="15" t="s">
        <v>20</v>
      </c>
      <c r="C58" s="15" t="s">
        <v>21</v>
      </c>
      <c r="D58" s="15" t="s">
        <v>209</v>
      </c>
      <c r="E58" s="15" t="s">
        <v>256</v>
      </c>
      <c r="F58" s="15" t="s">
        <v>257</v>
      </c>
      <c r="G58" s="16" t="s">
        <v>258</v>
      </c>
      <c r="H58" s="17"/>
      <c r="I58" s="17"/>
      <c r="J58" s="17"/>
      <c r="K58" s="17"/>
      <c r="L58" s="17"/>
      <c r="M58" s="15" t="s">
        <v>53</v>
      </c>
    </row>
    <row r="59" customFormat="false" ht="35.05" hidden="false" customHeight="false" outlineLevel="0" collapsed="false">
      <c r="A59" s="15" t="s">
        <v>259</v>
      </c>
      <c r="B59" s="15" t="s">
        <v>66</v>
      </c>
      <c r="C59" s="15" t="s">
        <v>21</v>
      </c>
      <c r="D59" s="15" t="s">
        <v>209</v>
      </c>
      <c r="E59" s="15" t="s">
        <v>260</v>
      </c>
      <c r="F59" s="15" t="s">
        <v>68</v>
      </c>
      <c r="G59" s="16" t="s">
        <v>261</v>
      </c>
      <c r="H59" s="17"/>
      <c r="I59" s="17"/>
      <c r="J59" s="17"/>
      <c r="K59" s="17"/>
      <c r="L59" s="17"/>
      <c r="M59" s="15" t="s">
        <v>53</v>
      </c>
    </row>
    <row r="60" customFormat="false" ht="23.85" hidden="false" customHeight="false" outlineLevel="0" collapsed="false">
      <c r="A60" s="15" t="s">
        <v>262</v>
      </c>
      <c r="B60" s="15" t="s">
        <v>132</v>
      </c>
      <c r="C60" s="15" t="s">
        <v>21</v>
      </c>
      <c r="D60" s="15" t="s">
        <v>209</v>
      </c>
      <c r="E60" s="15" t="s">
        <v>263</v>
      </c>
      <c r="F60" s="15" t="s">
        <v>264</v>
      </c>
      <c r="G60" s="16" t="s">
        <v>265</v>
      </c>
      <c r="H60" s="17"/>
      <c r="I60" s="17"/>
      <c r="J60" s="17"/>
      <c r="K60" s="17"/>
      <c r="L60" s="17"/>
      <c r="M60" s="15" t="s">
        <v>53</v>
      </c>
    </row>
    <row r="61" customFormat="false" ht="23.85" hidden="false" customHeight="false" outlineLevel="0" collapsed="false">
      <c r="A61" s="15" t="s">
        <v>266</v>
      </c>
      <c r="B61" s="15" t="s">
        <v>66</v>
      </c>
      <c r="C61" s="15" t="s">
        <v>21</v>
      </c>
      <c r="D61" s="15" t="s">
        <v>209</v>
      </c>
      <c r="E61" s="15" t="s">
        <v>267</v>
      </c>
      <c r="F61" s="15" t="s">
        <v>220</v>
      </c>
      <c r="G61" s="16" t="s">
        <v>268</v>
      </c>
      <c r="H61" s="17"/>
      <c r="I61" s="17"/>
      <c r="J61" s="17"/>
      <c r="K61" s="17"/>
      <c r="L61" s="17"/>
      <c r="M61" s="15" t="s">
        <v>53</v>
      </c>
    </row>
    <row r="62" customFormat="false" ht="23.85" hidden="false" customHeight="false" outlineLevel="0" collapsed="false">
      <c r="A62" s="15" t="s">
        <v>269</v>
      </c>
      <c r="B62" s="15" t="s">
        <v>132</v>
      </c>
      <c r="C62" s="15" t="s">
        <v>21</v>
      </c>
      <c r="D62" s="15" t="s">
        <v>209</v>
      </c>
      <c r="E62" s="15" t="s">
        <v>270</v>
      </c>
      <c r="F62" s="15" t="s">
        <v>271</v>
      </c>
      <c r="G62" s="16" t="s">
        <v>272</v>
      </c>
      <c r="H62" s="17"/>
      <c r="I62" s="17"/>
      <c r="J62" s="17"/>
      <c r="K62" s="17"/>
      <c r="L62" s="17"/>
      <c r="M62" s="15" t="s">
        <v>53</v>
      </c>
    </row>
    <row r="63" customFormat="false" ht="23.85" hidden="false" customHeight="false" outlineLevel="0" collapsed="false">
      <c r="A63" s="15" t="s">
        <v>273</v>
      </c>
      <c r="B63" s="15" t="s">
        <v>66</v>
      </c>
      <c r="C63" s="15" t="s">
        <v>21</v>
      </c>
      <c r="D63" s="15" t="s">
        <v>209</v>
      </c>
      <c r="E63" s="15" t="s">
        <v>274</v>
      </c>
      <c r="F63" s="15" t="s">
        <v>72</v>
      </c>
      <c r="G63" s="16" t="s">
        <v>275</v>
      </c>
      <c r="H63" s="17"/>
      <c r="I63" s="17"/>
      <c r="J63" s="17"/>
      <c r="K63" s="17"/>
      <c r="L63" s="17"/>
      <c r="M63" s="15" t="s">
        <v>53</v>
      </c>
    </row>
    <row r="64" customFormat="false" ht="23.85" hidden="false" customHeight="false" outlineLevel="0" collapsed="false">
      <c r="A64" s="15" t="s">
        <v>276</v>
      </c>
      <c r="B64" s="15" t="s">
        <v>132</v>
      </c>
      <c r="C64" s="15" t="s">
        <v>21</v>
      </c>
      <c r="D64" s="15" t="s">
        <v>209</v>
      </c>
      <c r="E64" s="15" t="s">
        <v>277</v>
      </c>
      <c r="F64" s="15" t="s">
        <v>278</v>
      </c>
      <c r="G64" s="16" t="s">
        <v>279</v>
      </c>
      <c r="H64" s="17"/>
      <c r="I64" s="17"/>
      <c r="J64" s="17"/>
      <c r="K64" s="17"/>
      <c r="L64" s="17"/>
      <c r="M64" s="15" t="s">
        <v>53</v>
      </c>
    </row>
    <row r="65" customFormat="false" ht="35.05" hidden="false" customHeight="false" outlineLevel="0" collapsed="false">
      <c r="A65" s="15" t="s">
        <v>280</v>
      </c>
      <c r="B65" s="15" t="s">
        <v>96</v>
      </c>
      <c r="C65" s="15" t="s">
        <v>281</v>
      </c>
      <c r="D65" s="15" t="s">
        <v>282</v>
      </c>
      <c r="E65" s="15" t="s">
        <v>283</v>
      </c>
      <c r="F65" s="15" t="s">
        <v>100</v>
      </c>
      <c r="G65" s="16" t="s">
        <v>284</v>
      </c>
      <c r="H65" s="17"/>
      <c r="I65" s="17"/>
      <c r="J65" s="17"/>
      <c r="K65" s="17"/>
      <c r="L65" s="17"/>
      <c r="M65" s="15" t="s">
        <v>53</v>
      </c>
    </row>
    <row r="66" customFormat="false" ht="35.05" hidden="false" customHeight="false" outlineLevel="0" collapsed="false">
      <c r="A66" s="15" t="s">
        <v>285</v>
      </c>
      <c r="B66" s="15" t="s">
        <v>96</v>
      </c>
      <c r="C66" s="15" t="s">
        <v>281</v>
      </c>
      <c r="D66" s="15" t="s">
        <v>282</v>
      </c>
      <c r="E66" s="15" t="s">
        <v>286</v>
      </c>
      <c r="F66" s="15" t="s">
        <v>100</v>
      </c>
      <c r="G66" s="16" t="s">
        <v>287</v>
      </c>
      <c r="H66" s="17"/>
      <c r="I66" s="17"/>
      <c r="J66" s="17"/>
      <c r="K66" s="17"/>
      <c r="L66" s="17"/>
      <c r="M66" s="15" t="s">
        <v>53</v>
      </c>
    </row>
    <row r="67" customFormat="false" ht="35.05" hidden="false" customHeight="false" outlineLevel="0" collapsed="false">
      <c r="A67" s="15" t="s">
        <v>288</v>
      </c>
      <c r="B67" s="15" t="s">
        <v>20</v>
      </c>
      <c r="C67" s="15" t="s">
        <v>281</v>
      </c>
      <c r="D67" s="15" t="s">
        <v>282</v>
      </c>
      <c r="E67" s="15" t="s">
        <v>289</v>
      </c>
      <c r="F67" s="15" t="s">
        <v>290</v>
      </c>
      <c r="G67" s="16" t="s">
        <v>291</v>
      </c>
      <c r="H67" s="17"/>
      <c r="I67" s="17"/>
      <c r="J67" s="17"/>
      <c r="K67" s="17"/>
      <c r="L67" s="17"/>
      <c r="M67" s="15" t="s">
        <v>53</v>
      </c>
    </row>
    <row r="68" customFormat="false" ht="35.05" hidden="false" customHeight="false" outlineLevel="0" collapsed="false">
      <c r="A68" s="15" t="s">
        <v>292</v>
      </c>
      <c r="B68" s="15" t="s">
        <v>20</v>
      </c>
      <c r="C68" s="15" t="s">
        <v>281</v>
      </c>
      <c r="D68" s="15" t="s">
        <v>282</v>
      </c>
      <c r="E68" s="15" t="s">
        <v>293</v>
      </c>
      <c r="F68" s="15" t="s">
        <v>294</v>
      </c>
      <c r="G68" s="16" t="s">
        <v>295</v>
      </c>
      <c r="H68" s="17"/>
      <c r="I68" s="17"/>
      <c r="J68" s="17"/>
      <c r="K68" s="17"/>
      <c r="L68" s="17"/>
      <c r="M68" s="15" t="s">
        <v>53</v>
      </c>
    </row>
    <row r="69" customFormat="false" ht="23.85" hidden="false" customHeight="false" outlineLevel="0" collapsed="false">
      <c r="A69" s="15" t="s">
        <v>296</v>
      </c>
      <c r="B69" s="15" t="s">
        <v>297</v>
      </c>
      <c r="C69" s="15" t="s">
        <v>298</v>
      </c>
      <c r="D69" s="15" t="s">
        <v>141</v>
      </c>
      <c r="E69" s="15" t="s">
        <v>299</v>
      </c>
      <c r="F69" s="15" t="s">
        <v>300</v>
      </c>
      <c r="G69" s="16" t="s">
        <v>301</v>
      </c>
      <c r="H69" s="17"/>
      <c r="I69" s="17"/>
      <c r="J69" s="17"/>
      <c r="K69" s="17"/>
      <c r="L69" s="17"/>
      <c r="M69" s="15" t="s">
        <v>53</v>
      </c>
    </row>
    <row r="70" customFormat="false" ht="23.85" hidden="false" customHeight="false" outlineLevel="0" collapsed="false">
      <c r="A70" s="15" t="s">
        <v>302</v>
      </c>
      <c r="B70" s="15" t="s">
        <v>297</v>
      </c>
      <c r="C70" s="15" t="s">
        <v>298</v>
      </c>
      <c r="D70" s="15" t="s">
        <v>141</v>
      </c>
      <c r="E70" s="15" t="s">
        <v>303</v>
      </c>
      <c r="F70" s="15" t="s">
        <v>300</v>
      </c>
      <c r="G70" s="16" t="s">
        <v>304</v>
      </c>
      <c r="H70" s="17"/>
      <c r="I70" s="17"/>
      <c r="J70" s="17"/>
      <c r="K70" s="17"/>
      <c r="L70" s="17"/>
      <c r="M70" s="15" t="s">
        <v>53</v>
      </c>
    </row>
    <row r="71" customFormat="false" ht="23.85" hidden="false" customHeight="false" outlineLevel="0" collapsed="false">
      <c r="A71" s="15" t="s">
        <v>305</v>
      </c>
      <c r="B71" s="15" t="s">
        <v>297</v>
      </c>
      <c r="C71" s="15" t="s">
        <v>298</v>
      </c>
      <c r="D71" s="15" t="s">
        <v>209</v>
      </c>
      <c r="E71" s="15" t="s">
        <v>306</v>
      </c>
      <c r="F71" s="15" t="s">
        <v>300</v>
      </c>
      <c r="G71" s="16" t="s">
        <v>307</v>
      </c>
      <c r="H71" s="17"/>
      <c r="I71" s="17"/>
      <c r="J71" s="17"/>
      <c r="K71" s="17"/>
      <c r="L71" s="17"/>
      <c r="M71" s="15" t="s">
        <v>53</v>
      </c>
    </row>
    <row r="72" customFormat="false" ht="23.85" hidden="false" customHeight="false" outlineLevel="0" collapsed="false">
      <c r="A72" s="15" t="s">
        <v>308</v>
      </c>
      <c r="B72" s="15" t="s">
        <v>297</v>
      </c>
      <c r="C72" s="15" t="s">
        <v>298</v>
      </c>
      <c r="D72" s="15" t="s">
        <v>209</v>
      </c>
      <c r="E72" s="15" t="s">
        <v>309</v>
      </c>
      <c r="F72" s="15" t="s">
        <v>300</v>
      </c>
      <c r="G72" s="16" t="s">
        <v>310</v>
      </c>
      <c r="H72" s="17"/>
      <c r="I72" s="17"/>
      <c r="J72" s="17"/>
      <c r="K72" s="17"/>
      <c r="L72" s="17"/>
      <c r="M72" s="15" t="s">
        <v>53</v>
      </c>
    </row>
    <row r="73" customFormat="false" ht="23.85" hidden="false" customHeight="false" outlineLevel="0" collapsed="false">
      <c r="A73" s="15" t="s">
        <v>311</v>
      </c>
      <c r="B73" s="15" t="s">
        <v>297</v>
      </c>
      <c r="C73" s="15" t="s">
        <v>298</v>
      </c>
      <c r="D73" s="15" t="s">
        <v>209</v>
      </c>
      <c r="E73" s="15" t="s">
        <v>312</v>
      </c>
      <c r="F73" s="15" t="s">
        <v>300</v>
      </c>
      <c r="G73" s="16" t="s">
        <v>313</v>
      </c>
      <c r="H73" s="17"/>
      <c r="I73" s="17"/>
      <c r="J73" s="17"/>
      <c r="K73" s="17"/>
      <c r="L73" s="17"/>
      <c r="M73" s="15" t="s">
        <v>53</v>
      </c>
    </row>
    <row r="74" customFormat="false" ht="23.85" hidden="false" customHeight="false" outlineLevel="0" collapsed="false">
      <c r="A74" s="15" t="s">
        <v>314</v>
      </c>
      <c r="B74" s="15" t="s">
        <v>297</v>
      </c>
      <c r="C74" s="15" t="s">
        <v>298</v>
      </c>
      <c r="D74" s="15" t="s">
        <v>49</v>
      </c>
      <c r="E74" s="15" t="s">
        <v>315</v>
      </c>
      <c r="F74" s="15" t="s">
        <v>300</v>
      </c>
      <c r="G74" s="16" t="s">
        <v>316</v>
      </c>
      <c r="H74" s="17"/>
      <c r="I74" s="17"/>
      <c r="J74" s="17"/>
      <c r="K74" s="17"/>
      <c r="L74" s="17"/>
      <c r="M74" s="15" t="s">
        <v>53</v>
      </c>
    </row>
    <row r="75" customFormat="false" ht="23.85" hidden="false" customHeight="false" outlineLevel="0" collapsed="false">
      <c r="A75" s="15" t="s">
        <v>317</v>
      </c>
      <c r="B75" s="15" t="s">
        <v>297</v>
      </c>
      <c r="C75" s="15" t="s">
        <v>298</v>
      </c>
      <c r="D75" s="15" t="s">
        <v>49</v>
      </c>
      <c r="E75" s="15" t="s">
        <v>318</v>
      </c>
      <c r="F75" s="15" t="s">
        <v>300</v>
      </c>
      <c r="G75" s="16" t="s">
        <v>319</v>
      </c>
      <c r="H75" s="17"/>
      <c r="I75" s="17"/>
      <c r="J75" s="17"/>
      <c r="K75" s="17"/>
      <c r="L75" s="17"/>
      <c r="M75" s="15" t="s">
        <v>53</v>
      </c>
    </row>
    <row r="76" customFormat="false" ht="23.85" hidden="false" customHeight="false" outlineLevel="0" collapsed="false">
      <c r="A76" s="15" t="s">
        <v>320</v>
      </c>
      <c r="B76" s="15" t="s">
        <v>297</v>
      </c>
      <c r="C76" s="15" t="s">
        <v>298</v>
      </c>
      <c r="D76" s="15" t="s">
        <v>98</v>
      </c>
      <c r="E76" s="15" t="s">
        <v>321</v>
      </c>
      <c r="F76" s="15" t="s">
        <v>300</v>
      </c>
      <c r="G76" s="16" t="s">
        <v>322</v>
      </c>
      <c r="H76" s="17"/>
      <c r="I76" s="17"/>
      <c r="J76" s="17"/>
      <c r="K76" s="17"/>
      <c r="L76" s="17"/>
      <c r="M76" s="15" t="s">
        <v>53</v>
      </c>
    </row>
    <row r="77" customFormat="false" ht="23.85" hidden="false" customHeight="false" outlineLevel="0" collapsed="false">
      <c r="A77" s="15" t="s">
        <v>323</v>
      </c>
      <c r="B77" s="15" t="s">
        <v>297</v>
      </c>
      <c r="C77" s="15" t="s">
        <v>298</v>
      </c>
      <c r="D77" s="15" t="s">
        <v>98</v>
      </c>
      <c r="E77" s="15" t="s">
        <v>324</v>
      </c>
      <c r="F77" s="15" t="s">
        <v>300</v>
      </c>
      <c r="G77" s="16" t="s">
        <v>325</v>
      </c>
      <c r="H77" s="17"/>
      <c r="I77" s="17"/>
      <c r="J77" s="17"/>
      <c r="K77" s="17"/>
      <c r="L77" s="17"/>
      <c r="M77" s="15" t="s">
        <v>53</v>
      </c>
    </row>
    <row r="78" customFormat="false" ht="23.85" hidden="false" customHeight="false" outlineLevel="0" collapsed="false">
      <c r="A78" s="15" t="s">
        <v>326</v>
      </c>
      <c r="B78" s="15" t="s">
        <v>297</v>
      </c>
      <c r="C78" s="15" t="s">
        <v>298</v>
      </c>
      <c r="D78" s="15" t="s">
        <v>187</v>
      </c>
      <c r="E78" s="15" t="s">
        <v>327</v>
      </c>
      <c r="F78" s="15" t="s">
        <v>300</v>
      </c>
      <c r="G78" s="16" t="s">
        <v>328</v>
      </c>
      <c r="H78" s="17"/>
      <c r="I78" s="17"/>
      <c r="J78" s="17"/>
      <c r="K78" s="17"/>
      <c r="L78" s="17"/>
      <c r="M78" s="15" t="s">
        <v>53</v>
      </c>
    </row>
    <row r="79" customFormat="false" ht="23.85" hidden="false" customHeight="false" outlineLevel="0" collapsed="false">
      <c r="A79" s="15" t="s">
        <v>329</v>
      </c>
      <c r="B79" s="15" t="s">
        <v>297</v>
      </c>
      <c r="C79" s="15" t="s">
        <v>298</v>
      </c>
      <c r="D79" s="15" t="s">
        <v>187</v>
      </c>
      <c r="E79" s="15" t="s">
        <v>330</v>
      </c>
      <c r="F79" s="15" t="s">
        <v>300</v>
      </c>
      <c r="G79" s="16" t="s">
        <v>331</v>
      </c>
      <c r="H79" s="17"/>
      <c r="I79" s="17"/>
      <c r="J79" s="17"/>
      <c r="K79" s="17"/>
      <c r="L79" s="17"/>
      <c r="M79" s="15" t="s">
        <v>53</v>
      </c>
    </row>
    <row r="80" customFormat="false" ht="23.85" hidden="false" customHeight="false" outlineLevel="0" collapsed="false">
      <c r="A80" s="15" t="s">
        <v>332</v>
      </c>
      <c r="B80" s="15" t="s">
        <v>297</v>
      </c>
      <c r="C80" s="15" t="s">
        <v>298</v>
      </c>
      <c r="D80" s="15" t="s">
        <v>333</v>
      </c>
      <c r="E80" s="15" t="s">
        <v>327</v>
      </c>
      <c r="F80" s="15" t="s">
        <v>300</v>
      </c>
      <c r="G80" s="16" t="s">
        <v>334</v>
      </c>
      <c r="H80" s="17"/>
      <c r="I80" s="17"/>
      <c r="J80" s="17"/>
      <c r="K80" s="17"/>
      <c r="L80" s="17"/>
      <c r="M80" s="15" t="s">
        <v>53</v>
      </c>
    </row>
    <row r="81" customFormat="false" ht="23.85" hidden="false" customHeight="false" outlineLevel="0" collapsed="false">
      <c r="A81" s="15" t="s">
        <v>335</v>
      </c>
      <c r="B81" s="15" t="s">
        <v>297</v>
      </c>
      <c r="C81" s="15" t="s">
        <v>298</v>
      </c>
      <c r="D81" s="15" t="s">
        <v>333</v>
      </c>
      <c r="E81" s="15" t="s">
        <v>330</v>
      </c>
      <c r="F81" s="15" t="s">
        <v>300</v>
      </c>
      <c r="G81" s="16" t="s">
        <v>336</v>
      </c>
      <c r="H81" s="17"/>
      <c r="I81" s="17"/>
      <c r="J81" s="17"/>
      <c r="K81" s="17"/>
      <c r="L81" s="17"/>
      <c r="M81" s="15" t="s">
        <v>53</v>
      </c>
    </row>
    <row r="82" customFormat="false" ht="23.85" hidden="false" customHeight="false" outlineLevel="0" collapsed="false">
      <c r="A82" s="15" t="s">
        <v>337</v>
      </c>
      <c r="B82" s="15" t="s">
        <v>297</v>
      </c>
      <c r="C82" s="15" t="s">
        <v>298</v>
      </c>
      <c r="D82" s="15" t="s">
        <v>282</v>
      </c>
      <c r="E82" s="15" t="s">
        <v>338</v>
      </c>
      <c r="F82" s="15" t="s">
        <v>300</v>
      </c>
      <c r="G82" s="16" t="s">
        <v>339</v>
      </c>
      <c r="H82" s="17"/>
      <c r="I82" s="17"/>
      <c r="J82" s="17"/>
      <c r="K82" s="17"/>
      <c r="L82" s="17"/>
      <c r="M82" s="15" t="s">
        <v>53</v>
      </c>
    </row>
    <row r="83" customFormat="false" ht="23.85" hidden="false" customHeight="false" outlineLevel="0" collapsed="false">
      <c r="A83" s="15" t="s">
        <v>340</v>
      </c>
      <c r="B83" s="15" t="s">
        <v>297</v>
      </c>
      <c r="C83" s="15" t="s">
        <v>298</v>
      </c>
      <c r="D83" s="15" t="s">
        <v>282</v>
      </c>
      <c r="E83" s="15" t="s">
        <v>341</v>
      </c>
      <c r="F83" s="15" t="s">
        <v>300</v>
      </c>
      <c r="G83" s="16" t="s">
        <v>342</v>
      </c>
      <c r="H83" s="17"/>
      <c r="I83" s="17"/>
      <c r="J83" s="17"/>
      <c r="K83" s="17"/>
      <c r="L83" s="17"/>
      <c r="M83" s="15" t="s">
        <v>53</v>
      </c>
    </row>
    <row r="84" customFormat="false" ht="23.85" hidden="false" customHeight="false" outlineLevel="0" collapsed="false">
      <c r="A84" s="15" t="s">
        <v>343</v>
      </c>
      <c r="B84" s="15" t="s">
        <v>297</v>
      </c>
      <c r="C84" s="15" t="s">
        <v>298</v>
      </c>
      <c r="D84" s="15" t="s">
        <v>344</v>
      </c>
      <c r="E84" s="15" t="s">
        <v>338</v>
      </c>
      <c r="F84" s="15" t="s">
        <v>300</v>
      </c>
      <c r="G84" s="16" t="s">
        <v>345</v>
      </c>
      <c r="H84" s="17"/>
      <c r="I84" s="17"/>
      <c r="J84" s="17"/>
      <c r="K84" s="17"/>
      <c r="L84" s="17"/>
      <c r="M84" s="15" t="s">
        <v>53</v>
      </c>
    </row>
    <row r="85" customFormat="false" ht="23.85" hidden="false" customHeight="false" outlineLevel="0" collapsed="false">
      <c r="A85" s="15" t="s">
        <v>346</v>
      </c>
      <c r="B85" s="15" t="s">
        <v>297</v>
      </c>
      <c r="C85" s="15" t="s">
        <v>298</v>
      </c>
      <c r="D85" s="15" t="s">
        <v>344</v>
      </c>
      <c r="E85" s="15" t="s">
        <v>341</v>
      </c>
      <c r="F85" s="15" t="s">
        <v>300</v>
      </c>
      <c r="G85" s="16" t="s">
        <v>347</v>
      </c>
      <c r="H85" s="17"/>
      <c r="I85" s="17"/>
      <c r="J85" s="17"/>
      <c r="K85" s="17"/>
      <c r="L85" s="17"/>
      <c r="M85" s="15" t="s">
        <v>53</v>
      </c>
    </row>
    <row r="86" customFormat="false" ht="23.85" hidden="false" customHeight="false" outlineLevel="0" collapsed="false">
      <c r="A86" s="15" t="s">
        <v>348</v>
      </c>
      <c r="B86" s="15" t="s">
        <v>297</v>
      </c>
      <c r="C86" s="15" t="s">
        <v>298</v>
      </c>
      <c r="D86" s="15" t="s">
        <v>349</v>
      </c>
      <c r="E86" s="15" t="s">
        <v>350</v>
      </c>
      <c r="F86" s="15" t="s">
        <v>300</v>
      </c>
      <c r="G86" s="16" t="s">
        <v>351</v>
      </c>
      <c r="H86" s="17"/>
      <c r="I86" s="17"/>
      <c r="J86" s="17"/>
      <c r="K86" s="17"/>
      <c r="L86" s="17"/>
      <c r="M86" s="15" t="s">
        <v>53</v>
      </c>
    </row>
    <row r="87" customFormat="false" ht="23.85" hidden="false" customHeight="false" outlineLevel="0" collapsed="false">
      <c r="A87" s="15" t="s">
        <v>352</v>
      </c>
      <c r="B87" s="15" t="s">
        <v>297</v>
      </c>
      <c r="C87" s="15" t="s">
        <v>298</v>
      </c>
      <c r="D87" s="15" t="s">
        <v>349</v>
      </c>
      <c r="E87" s="15" t="s">
        <v>353</v>
      </c>
      <c r="F87" s="15" t="s">
        <v>300</v>
      </c>
      <c r="G87" s="16" t="s">
        <v>354</v>
      </c>
      <c r="H87" s="17"/>
      <c r="I87" s="17"/>
      <c r="J87" s="17"/>
      <c r="K87" s="17"/>
      <c r="L87" s="17"/>
      <c r="M87" s="15" t="s">
        <v>53</v>
      </c>
    </row>
    <row r="88" customFormat="false" ht="23.85" hidden="false" customHeight="false" outlineLevel="0" collapsed="false">
      <c r="A88" s="15" t="s">
        <v>355</v>
      </c>
      <c r="B88" s="15" t="s">
        <v>297</v>
      </c>
      <c r="C88" s="15" t="s">
        <v>298</v>
      </c>
      <c r="D88" s="15" t="s">
        <v>356</v>
      </c>
      <c r="E88" s="15" t="s">
        <v>350</v>
      </c>
      <c r="F88" s="15" t="s">
        <v>300</v>
      </c>
      <c r="G88" s="16" t="s">
        <v>357</v>
      </c>
      <c r="H88" s="17"/>
      <c r="I88" s="17"/>
      <c r="J88" s="17"/>
      <c r="K88" s="17"/>
      <c r="L88" s="17"/>
      <c r="M88" s="15" t="s">
        <v>53</v>
      </c>
    </row>
    <row r="89" customFormat="false" ht="23.85" hidden="false" customHeight="false" outlineLevel="0" collapsed="false">
      <c r="A89" s="15" t="s">
        <v>358</v>
      </c>
      <c r="B89" s="15" t="s">
        <v>297</v>
      </c>
      <c r="C89" s="15" t="s">
        <v>298</v>
      </c>
      <c r="D89" s="15" t="s">
        <v>356</v>
      </c>
      <c r="E89" s="15" t="s">
        <v>353</v>
      </c>
      <c r="F89" s="15" t="s">
        <v>300</v>
      </c>
      <c r="G89" s="16" t="s">
        <v>359</v>
      </c>
      <c r="H89" s="17"/>
      <c r="I89" s="17"/>
      <c r="J89" s="17"/>
      <c r="K89" s="17"/>
      <c r="L89" s="17"/>
      <c r="M89" s="15" t="s">
        <v>53</v>
      </c>
    </row>
    <row r="90" customFormat="false" ht="23.85" hidden="false" customHeight="false" outlineLevel="0" collapsed="false">
      <c r="A90" s="15" t="s">
        <v>360</v>
      </c>
      <c r="B90" s="15" t="s">
        <v>361</v>
      </c>
      <c r="C90" s="15" t="s">
        <v>298</v>
      </c>
      <c r="D90" s="15" t="s">
        <v>141</v>
      </c>
      <c r="E90" s="15" t="s">
        <v>362</v>
      </c>
      <c r="F90" s="15" t="s">
        <v>363</v>
      </c>
      <c r="G90" s="16" t="s">
        <v>364</v>
      </c>
      <c r="H90" s="17"/>
      <c r="I90" s="17"/>
      <c r="J90" s="17"/>
      <c r="K90" s="17"/>
      <c r="L90" s="17"/>
      <c r="M90" s="15" t="s">
        <v>53</v>
      </c>
    </row>
    <row r="91" customFormat="false" ht="23.85" hidden="false" customHeight="false" outlineLevel="0" collapsed="false">
      <c r="A91" s="15" t="s">
        <v>365</v>
      </c>
      <c r="B91" s="15" t="s">
        <v>361</v>
      </c>
      <c r="C91" s="15" t="s">
        <v>298</v>
      </c>
      <c r="D91" s="15" t="s">
        <v>141</v>
      </c>
      <c r="E91" s="15" t="s">
        <v>366</v>
      </c>
      <c r="F91" s="15" t="s">
        <v>367</v>
      </c>
      <c r="G91" s="16" t="s">
        <v>364</v>
      </c>
      <c r="H91" s="17"/>
      <c r="I91" s="17"/>
      <c r="J91" s="17"/>
      <c r="K91" s="17"/>
      <c r="L91" s="17"/>
      <c r="M91" s="15" t="s">
        <v>53</v>
      </c>
    </row>
    <row r="92" customFormat="false" ht="23.85" hidden="false" customHeight="false" outlineLevel="0" collapsed="false">
      <c r="A92" s="15" t="s">
        <v>368</v>
      </c>
      <c r="B92" s="15" t="s">
        <v>361</v>
      </c>
      <c r="C92" s="15" t="s">
        <v>298</v>
      </c>
      <c r="D92" s="15" t="s">
        <v>141</v>
      </c>
      <c r="E92" s="15" t="s">
        <v>369</v>
      </c>
      <c r="F92" s="15" t="s">
        <v>370</v>
      </c>
      <c r="G92" s="16" t="s">
        <v>364</v>
      </c>
      <c r="H92" s="17"/>
      <c r="I92" s="17"/>
      <c r="J92" s="17"/>
      <c r="K92" s="17"/>
      <c r="L92" s="17"/>
      <c r="M92" s="15" t="s">
        <v>53</v>
      </c>
    </row>
    <row r="93" customFormat="false" ht="35.05" hidden="false" customHeight="false" outlineLevel="0" collapsed="false">
      <c r="A93" s="15" t="s">
        <v>371</v>
      </c>
      <c r="B93" s="15" t="s">
        <v>372</v>
      </c>
      <c r="C93" s="15" t="s">
        <v>298</v>
      </c>
      <c r="D93" s="15" t="s">
        <v>68</v>
      </c>
      <c r="E93" s="15" t="s">
        <v>373</v>
      </c>
      <c r="F93" s="15" t="s">
        <v>374</v>
      </c>
      <c r="G93" s="16" t="s">
        <v>375</v>
      </c>
      <c r="H93" s="17"/>
      <c r="I93" s="17"/>
      <c r="J93" s="17"/>
      <c r="K93" s="17"/>
      <c r="L93" s="17"/>
      <c r="M93" s="15" t="s">
        <v>53</v>
      </c>
    </row>
    <row r="94" customFormat="false" ht="23.85" hidden="false" customHeight="false" outlineLevel="0" collapsed="false">
      <c r="A94" s="15" t="s">
        <v>376</v>
      </c>
      <c r="B94" s="15" t="s">
        <v>372</v>
      </c>
      <c r="C94" s="15" t="s">
        <v>298</v>
      </c>
      <c r="D94" s="15" t="s">
        <v>220</v>
      </c>
      <c r="E94" s="15" t="s">
        <v>377</v>
      </c>
      <c r="F94" s="15" t="s">
        <v>374</v>
      </c>
      <c r="G94" s="16" t="s">
        <v>378</v>
      </c>
      <c r="H94" s="17"/>
      <c r="I94" s="17"/>
      <c r="J94" s="17"/>
      <c r="K94" s="17"/>
      <c r="L94" s="17"/>
      <c r="M94" s="15" t="s">
        <v>53</v>
      </c>
    </row>
    <row r="95" customFormat="false" ht="23.85" hidden="false" customHeight="false" outlineLevel="0" collapsed="false">
      <c r="A95" s="15" t="s">
        <v>379</v>
      </c>
      <c r="B95" s="15" t="s">
        <v>372</v>
      </c>
      <c r="C95" s="15" t="s">
        <v>298</v>
      </c>
      <c r="D95" s="15" t="s">
        <v>129</v>
      </c>
      <c r="E95" s="15" t="s">
        <v>380</v>
      </c>
      <c r="F95" s="15" t="s">
        <v>374</v>
      </c>
      <c r="G95" s="16" t="s">
        <v>381</v>
      </c>
      <c r="H95" s="17"/>
      <c r="I95" s="17"/>
      <c r="J95" s="17"/>
      <c r="K95" s="17"/>
      <c r="L95" s="17"/>
      <c r="M95" s="15" t="s">
        <v>53</v>
      </c>
    </row>
    <row r="96" customFormat="false" ht="23.85" hidden="false" customHeight="false" outlineLevel="0" collapsed="false">
      <c r="A96" s="15" t="s">
        <v>382</v>
      </c>
      <c r="B96" s="15" t="s">
        <v>372</v>
      </c>
      <c r="C96" s="15" t="s">
        <v>298</v>
      </c>
      <c r="D96" s="15" t="s">
        <v>156</v>
      </c>
      <c r="E96" s="15" t="s">
        <v>383</v>
      </c>
      <c r="F96" s="15" t="s">
        <v>374</v>
      </c>
      <c r="G96" s="16" t="s">
        <v>384</v>
      </c>
      <c r="H96" s="17"/>
      <c r="I96" s="17"/>
      <c r="J96" s="17"/>
      <c r="K96" s="17"/>
      <c r="L96" s="17"/>
      <c r="M96" s="15" t="s">
        <v>53</v>
      </c>
    </row>
    <row r="97" customFormat="false" ht="23.85" hidden="false" customHeight="false" outlineLevel="0" collapsed="false">
      <c r="A97" s="15" t="s">
        <v>385</v>
      </c>
      <c r="B97" s="15" t="s">
        <v>372</v>
      </c>
      <c r="C97" s="15" t="s">
        <v>298</v>
      </c>
      <c r="D97" s="15" t="s">
        <v>386</v>
      </c>
      <c r="E97" s="15" t="s">
        <v>387</v>
      </c>
      <c r="F97" s="15" t="s">
        <v>374</v>
      </c>
      <c r="G97" s="16" t="s">
        <v>388</v>
      </c>
      <c r="H97" s="17"/>
      <c r="I97" s="17"/>
      <c r="J97" s="17"/>
      <c r="K97" s="17"/>
      <c r="L97" s="17"/>
      <c r="M97" s="15" t="s">
        <v>53</v>
      </c>
    </row>
    <row r="98" customFormat="false" ht="23.85" hidden="false" customHeight="false" outlineLevel="0" collapsed="false">
      <c r="A98" s="15" t="s">
        <v>389</v>
      </c>
      <c r="B98" s="15" t="s">
        <v>390</v>
      </c>
      <c r="C98" s="15" t="s">
        <v>391</v>
      </c>
      <c r="D98" s="15" t="s">
        <v>209</v>
      </c>
      <c r="E98" s="15" t="s">
        <v>392</v>
      </c>
      <c r="F98" s="15" t="s">
        <v>393</v>
      </c>
      <c r="G98" s="16" t="s">
        <v>394</v>
      </c>
      <c r="H98" s="17"/>
      <c r="I98" s="17"/>
      <c r="J98" s="17"/>
      <c r="K98" s="17"/>
      <c r="L98" s="17"/>
      <c r="M98" s="15" t="s">
        <v>53</v>
      </c>
    </row>
    <row r="99" customFormat="false" ht="23.85" hidden="false" customHeight="false" outlineLevel="0" collapsed="false">
      <c r="A99" s="15" t="s">
        <v>395</v>
      </c>
      <c r="B99" s="15" t="s">
        <v>396</v>
      </c>
      <c r="C99" s="15" t="s">
        <v>391</v>
      </c>
      <c r="D99" s="15" t="s">
        <v>209</v>
      </c>
      <c r="E99" s="15" t="s">
        <v>397</v>
      </c>
      <c r="F99" s="15" t="s">
        <v>398</v>
      </c>
      <c r="G99" s="16" t="s">
        <v>399</v>
      </c>
      <c r="H99" s="17"/>
      <c r="I99" s="17"/>
      <c r="J99" s="17"/>
      <c r="K99" s="17"/>
      <c r="L99" s="17"/>
      <c r="M99" s="15" t="s">
        <v>53</v>
      </c>
    </row>
    <row r="100" customFormat="false" ht="35.05" hidden="false" customHeight="false" outlineLevel="0" collapsed="false">
      <c r="A100" s="15" t="s">
        <v>400</v>
      </c>
      <c r="B100" s="15" t="s">
        <v>396</v>
      </c>
      <c r="C100" s="15" t="s">
        <v>391</v>
      </c>
      <c r="D100" s="15" t="s">
        <v>209</v>
      </c>
      <c r="E100" s="15" t="s">
        <v>401</v>
      </c>
      <c r="F100" s="15" t="s">
        <v>402</v>
      </c>
      <c r="G100" s="16" t="s">
        <v>403</v>
      </c>
      <c r="H100" s="17"/>
      <c r="I100" s="17"/>
      <c r="J100" s="17"/>
      <c r="K100" s="17"/>
      <c r="L100" s="17"/>
      <c r="M100" s="15" t="s">
        <v>53</v>
      </c>
    </row>
    <row r="101" customFormat="false" ht="23.85" hidden="false" customHeight="false" outlineLevel="0" collapsed="false">
      <c r="A101" s="15" t="s">
        <v>404</v>
      </c>
      <c r="B101" s="15" t="s">
        <v>396</v>
      </c>
      <c r="C101" s="15" t="s">
        <v>391</v>
      </c>
      <c r="D101" s="15" t="s">
        <v>209</v>
      </c>
      <c r="E101" s="15" t="s">
        <v>405</v>
      </c>
      <c r="F101" s="15" t="s">
        <v>406</v>
      </c>
      <c r="G101" s="16" t="s">
        <v>407</v>
      </c>
      <c r="H101" s="17"/>
      <c r="I101" s="17"/>
      <c r="J101" s="17"/>
      <c r="K101" s="17"/>
      <c r="L101" s="17"/>
      <c r="M101" s="15" t="s">
        <v>53</v>
      </c>
    </row>
    <row r="102" customFormat="false" ht="23.85" hidden="false" customHeight="false" outlineLevel="0" collapsed="false">
      <c r="A102" s="15" t="s">
        <v>408</v>
      </c>
      <c r="B102" s="15" t="s">
        <v>390</v>
      </c>
      <c r="C102" s="15" t="s">
        <v>409</v>
      </c>
      <c r="D102" s="15" t="s">
        <v>209</v>
      </c>
      <c r="E102" s="15" t="s">
        <v>410</v>
      </c>
      <c r="F102" s="15" t="s">
        <v>393</v>
      </c>
      <c r="G102" s="16" t="s">
        <v>411</v>
      </c>
      <c r="H102" s="17"/>
      <c r="I102" s="17"/>
      <c r="J102" s="17"/>
      <c r="K102" s="17"/>
      <c r="L102" s="17"/>
      <c r="M102" s="15" t="s">
        <v>53</v>
      </c>
    </row>
    <row r="103" customFormat="false" ht="23.85" hidden="false" customHeight="false" outlineLevel="0" collapsed="false">
      <c r="A103" s="15" t="s">
        <v>412</v>
      </c>
      <c r="B103" s="15" t="s">
        <v>396</v>
      </c>
      <c r="C103" s="15" t="s">
        <v>409</v>
      </c>
      <c r="D103" s="15" t="s">
        <v>209</v>
      </c>
      <c r="E103" s="15" t="s">
        <v>413</v>
      </c>
      <c r="F103" s="15" t="s">
        <v>398</v>
      </c>
      <c r="G103" s="16" t="s">
        <v>414</v>
      </c>
      <c r="H103" s="17"/>
      <c r="I103" s="17"/>
      <c r="J103" s="17"/>
      <c r="K103" s="17"/>
      <c r="L103" s="17"/>
      <c r="M103" s="15" t="s">
        <v>53</v>
      </c>
    </row>
    <row r="104" customFormat="false" ht="35.05" hidden="false" customHeight="false" outlineLevel="0" collapsed="false">
      <c r="A104" s="15" t="s">
        <v>415</v>
      </c>
      <c r="B104" s="15" t="s">
        <v>396</v>
      </c>
      <c r="C104" s="15" t="s">
        <v>409</v>
      </c>
      <c r="D104" s="15" t="s">
        <v>209</v>
      </c>
      <c r="E104" s="15" t="s">
        <v>416</v>
      </c>
      <c r="F104" s="15" t="s">
        <v>402</v>
      </c>
      <c r="G104" s="16" t="s">
        <v>417</v>
      </c>
      <c r="H104" s="17"/>
      <c r="I104" s="17"/>
      <c r="J104" s="17"/>
      <c r="K104" s="17"/>
      <c r="L104" s="17"/>
      <c r="M104" s="15" t="s">
        <v>53</v>
      </c>
    </row>
    <row r="105" customFormat="false" ht="23.85" hidden="false" customHeight="false" outlineLevel="0" collapsed="false">
      <c r="A105" s="15" t="s">
        <v>418</v>
      </c>
      <c r="B105" s="15" t="s">
        <v>390</v>
      </c>
      <c r="C105" s="15" t="s">
        <v>419</v>
      </c>
      <c r="D105" s="15" t="s">
        <v>209</v>
      </c>
      <c r="E105" s="15" t="s">
        <v>420</v>
      </c>
      <c r="F105" s="15" t="s">
        <v>393</v>
      </c>
      <c r="G105" s="16" t="s">
        <v>421</v>
      </c>
      <c r="H105" s="17"/>
      <c r="I105" s="17"/>
      <c r="J105" s="17"/>
      <c r="K105" s="17"/>
      <c r="L105" s="17"/>
      <c r="M105" s="15" t="s">
        <v>53</v>
      </c>
    </row>
    <row r="106" customFormat="false" ht="23.85" hidden="false" customHeight="false" outlineLevel="0" collapsed="false">
      <c r="A106" s="15" t="s">
        <v>422</v>
      </c>
      <c r="B106" s="15" t="s">
        <v>396</v>
      </c>
      <c r="C106" s="15" t="s">
        <v>419</v>
      </c>
      <c r="D106" s="15" t="s">
        <v>209</v>
      </c>
      <c r="E106" s="15" t="s">
        <v>423</v>
      </c>
      <c r="F106" s="15" t="s">
        <v>398</v>
      </c>
      <c r="G106" s="16" t="s">
        <v>424</v>
      </c>
      <c r="H106" s="17"/>
      <c r="I106" s="17"/>
      <c r="J106" s="17"/>
      <c r="K106" s="17"/>
      <c r="L106" s="17"/>
      <c r="M106" s="15" t="s">
        <v>53</v>
      </c>
    </row>
    <row r="107" customFormat="false" ht="23.85" hidden="false" customHeight="false" outlineLevel="0" collapsed="false">
      <c r="A107" s="15" t="s">
        <v>425</v>
      </c>
      <c r="B107" s="15" t="s">
        <v>396</v>
      </c>
      <c r="C107" s="15" t="s">
        <v>419</v>
      </c>
      <c r="D107" s="15" t="s">
        <v>209</v>
      </c>
      <c r="E107" s="15" t="s">
        <v>426</v>
      </c>
      <c r="F107" s="15" t="s">
        <v>427</v>
      </c>
      <c r="G107" s="16" t="s">
        <v>428</v>
      </c>
      <c r="H107" s="17"/>
      <c r="I107" s="17"/>
      <c r="J107" s="17"/>
      <c r="K107" s="17"/>
      <c r="L107" s="17"/>
      <c r="M107" s="15" t="s">
        <v>53</v>
      </c>
    </row>
    <row r="108" customFormat="false" ht="23.85" hidden="false" customHeight="false" outlineLevel="0" collapsed="false">
      <c r="A108" s="15" t="s">
        <v>429</v>
      </c>
      <c r="B108" s="15" t="s">
        <v>396</v>
      </c>
      <c r="C108" s="15" t="s">
        <v>419</v>
      </c>
      <c r="D108" s="15" t="s">
        <v>209</v>
      </c>
      <c r="E108" s="15" t="s">
        <v>430</v>
      </c>
      <c r="F108" s="15" t="s">
        <v>431</v>
      </c>
      <c r="G108" s="16" t="s">
        <v>432</v>
      </c>
      <c r="H108" s="17"/>
      <c r="I108" s="17"/>
      <c r="J108" s="17"/>
      <c r="K108" s="17"/>
      <c r="L108" s="17"/>
      <c r="M108" s="15" t="s">
        <v>53</v>
      </c>
    </row>
    <row r="109" customFormat="false" ht="23.85" hidden="false" customHeight="false" outlineLevel="0" collapsed="false">
      <c r="A109" s="15" t="s">
        <v>433</v>
      </c>
      <c r="B109" s="15" t="s">
        <v>396</v>
      </c>
      <c r="C109" s="15" t="s">
        <v>419</v>
      </c>
      <c r="D109" s="15" t="s">
        <v>209</v>
      </c>
      <c r="E109" s="15" t="s">
        <v>430</v>
      </c>
      <c r="F109" s="15" t="s">
        <v>434</v>
      </c>
      <c r="G109" s="16" t="s">
        <v>435</v>
      </c>
      <c r="H109" s="17"/>
      <c r="I109" s="17"/>
      <c r="J109" s="17"/>
      <c r="K109" s="17"/>
      <c r="L109" s="17"/>
      <c r="M109" s="15" t="s">
        <v>53</v>
      </c>
    </row>
    <row r="110" customFormat="false" ht="23.85" hidden="false" customHeight="false" outlineLevel="0" collapsed="false">
      <c r="A110" s="15" t="s">
        <v>436</v>
      </c>
      <c r="B110" s="15" t="s">
        <v>390</v>
      </c>
      <c r="C110" s="15" t="s">
        <v>437</v>
      </c>
      <c r="D110" s="15" t="s">
        <v>209</v>
      </c>
      <c r="E110" s="15" t="s">
        <v>438</v>
      </c>
      <c r="F110" s="15" t="s">
        <v>393</v>
      </c>
      <c r="G110" s="16" t="s">
        <v>439</v>
      </c>
      <c r="H110" s="17"/>
      <c r="I110" s="17"/>
      <c r="J110" s="17"/>
      <c r="K110" s="17"/>
      <c r="L110" s="17"/>
      <c r="M110" s="15" t="s">
        <v>53</v>
      </c>
    </row>
    <row r="111" customFormat="false" ht="23.85" hidden="false" customHeight="false" outlineLevel="0" collapsed="false">
      <c r="A111" s="15" t="s">
        <v>440</v>
      </c>
      <c r="B111" s="15" t="s">
        <v>396</v>
      </c>
      <c r="C111" s="15" t="s">
        <v>437</v>
      </c>
      <c r="D111" s="15" t="s">
        <v>209</v>
      </c>
      <c r="E111" s="15" t="s">
        <v>441</v>
      </c>
      <c r="F111" s="15" t="s">
        <v>398</v>
      </c>
      <c r="G111" s="16" t="s">
        <v>442</v>
      </c>
      <c r="H111" s="17"/>
      <c r="I111" s="17"/>
      <c r="J111" s="17"/>
      <c r="K111" s="17"/>
      <c r="L111" s="17"/>
      <c r="M111" s="15" t="s">
        <v>53</v>
      </c>
    </row>
    <row r="112" customFormat="false" ht="23.85" hidden="false" customHeight="false" outlineLevel="0" collapsed="false">
      <c r="A112" s="15" t="s">
        <v>443</v>
      </c>
      <c r="B112" s="15" t="s">
        <v>396</v>
      </c>
      <c r="C112" s="15" t="s">
        <v>437</v>
      </c>
      <c r="D112" s="15" t="s">
        <v>209</v>
      </c>
      <c r="E112" s="15" t="s">
        <v>444</v>
      </c>
      <c r="F112" s="15" t="s">
        <v>406</v>
      </c>
      <c r="G112" s="16" t="s">
        <v>445</v>
      </c>
      <c r="H112" s="17"/>
      <c r="I112" s="17"/>
      <c r="J112" s="17"/>
      <c r="K112" s="17"/>
      <c r="L112" s="17"/>
      <c r="M112" s="15" t="s">
        <v>53</v>
      </c>
    </row>
    <row r="113" customFormat="false" ht="23.85" hidden="false" customHeight="false" outlineLevel="0" collapsed="false">
      <c r="A113" s="15" t="s">
        <v>446</v>
      </c>
      <c r="B113" s="15" t="s">
        <v>396</v>
      </c>
      <c r="C113" s="15" t="s">
        <v>437</v>
      </c>
      <c r="D113" s="15" t="s">
        <v>209</v>
      </c>
      <c r="E113" s="15" t="s">
        <v>447</v>
      </c>
      <c r="F113" s="15" t="s">
        <v>402</v>
      </c>
      <c r="G113" s="16" t="s">
        <v>448</v>
      </c>
      <c r="H113" s="17"/>
      <c r="I113" s="17"/>
      <c r="J113" s="17"/>
      <c r="K113" s="17"/>
      <c r="L113" s="17"/>
      <c r="M113" s="15" t="s">
        <v>53</v>
      </c>
    </row>
    <row r="114" customFormat="false" ht="23.85" hidden="false" customHeight="false" outlineLevel="0" collapsed="false">
      <c r="A114" s="15" t="s">
        <v>449</v>
      </c>
      <c r="B114" s="15" t="s">
        <v>390</v>
      </c>
      <c r="C114" s="15" t="s">
        <v>450</v>
      </c>
      <c r="D114" s="15" t="s">
        <v>49</v>
      </c>
      <c r="E114" s="15" t="s">
        <v>451</v>
      </c>
      <c r="F114" s="15" t="s">
        <v>393</v>
      </c>
      <c r="G114" s="16" t="s">
        <v>452</v>
      </c>
      <c r="H114" s="17"/>
      <c r="I114" s="17"/>
      <c r="J114" s="17"/>
      <c r="K114" s="17"/>
      <c r="L114" s="17"/>
      <c r="M114" s="15" t="s">
        <v>53</v>
      </c>
    </row>
    <row r="115" customFormat="false" ht="23.85" hidden="false" customHeight="false" outlineLevel="0" collapsed="false">
      <c r="A115" s="15" t="s">
        <v>453</v>
      </c>
      <c r="B115" s="15" t="s">
        <v>396</v>
      </c>
      <c r="C115" s="15" t="s">
        <v>450</v>
      </c>
      <c r="D115" s="15" t="s">
        <v>49</v>
      </c>
      <c r="E115" s="15" t="s">
        <v>454</v>
      </c>
      <c r="F115" s="15" t="s">
        <v>398</v>
      </c>
      <c r="G115" s="16" t="s">
        <v>455</v>
      </c>
      <c r="H115" s="17"/>
      <c r="I115" s="17"/>
      <c r="J115" s="17"/>
      <c r="K115" s="17"/>
      <c r="L115" s="17"/>
      <c r="M115" s="15" t="s">
        <v>53</v>
      </c>
    </row>
    <row r="116" customFormat="false" ht="35.05" hidden="false" customHeight="false" outlineLevel="0" collapsed="false">
      <c r="A116" s="15" t="s">
        <v>456</v>
      </c>
      <c r="B116" s="15" t="s">
        <v>396</v>
      </c>
      <c r="C116" s="15" t="s">
        <v>450</v>
      </c>
      <c r="D116" s="15" t="s">
        <v>49</v>
      </c>
      <c r="E116" s="15" t="s">
        <v>457</v>
      </c>
      <c r="F116" s="15" t="s">
        <v>431</v>
      </c>
      <c r="G116" s="16" t="s">
        <v>458</v>
      </c>
      <c r="H116" s="17"/>
      <c r="I116" s="17"/>
      <c r="J116" s="17"/>
      <c r="K116" s="17"/>
      <c r="L116" s="17"/>
      <c r="M116" s="15" t="s">
        <v>53</v>
      </c>
    </row>
    <row r="117" customFormat="false" ht="23.85" hidden="false" customHeight="false" outlineLevel="0" collapsed="false">
      <c r="A117" s="15" t="s">
        <v>459</v>
      </c>
      <c r="B117" s="15" t="s">
        <v>390</v>
      </c>
      <c r="C117" s="15" t="s">
        <v>460</v>
      </c>
      <c r="D117" s="15" t="s">
        <v>49</v>
      </c>
      <c r="E117" s="15" t="s">
        <v>461</v>
      </c>
      <c r="F117" s="15" t="s">
        <v>393</v>
      </c>
      <c r="G117" s="16" t="s">
        <v>462</v>
      </c>
      <c r="H117" s="17"/>
      <c r="I117" s="17"/>
      <c r="J117" s="17"/>
      <c r="K117" s="17"/>
      <c r="L117" s="17"/>
      <c r="M117" s="15" t="s">
        <v>53</v>
      </c>
    </row>
    <row r="118" customFormat="false" ht="23.85" hidden="false" customHeight="false" outlineLevel="0" collapsed="false">
      <c r="A118" s="15" t="s">
        <v>463</v>
      </c>
      <c r="B118" s="15" t="s">
        <v>396</v>
      </c>
      <c r="C118" s="15" t="s">
        <v>460</v>
      </c>
      <c r="D118" s="15" t="s">
        <v>49</v>
      </c>
      <c r="E118" s="15" t="s">
        <v>464</v>
      </c>
      <c r="F118" s="15" t="s">
        <v>398</v>
      </c>
      <c r="G118" s="16" t="s">
        <v>465</v>
      </c>
      <c r="H118" s="17"/>
      <c r="I118" s="17"/>
      <c r="J118" s="17"/>
      <c r="K118" s="17"/>
      <c r="L118" s="17"/>
      <c r="M118" s="15" t="s">
        <v>53</v>
      </c>
    </row>
    <row r="119" customFormat="false" ht="35.05" hidden="false" customHeight="false" outlineLevel="0" collapsed="false">
      <c r="A119" s="15" t="s">
        <v>466</v>
      </c>
      <c r="B119" s="15" t="s">
        <v>390</v>
      </c>
      <c r="C119" s="15" t="s">
        <v>467</v>
      </c>
      <c r="D119" s="15" t="s">
        <v>468</v>
      </c>
      <c r="E119" s="15" t="s">
        <v>469</v>
      </c>
      <c r="F119" s="15" t="s">
        <v>393</v>
      </c>
      <c r="G119" s="16" t="s">
        <v>470</v>
      </c>
      <c r="H119" s="17"/>
      <c r="I119" s="17"/>
      <c r="J119" s="17"/>
      <c r="K119" s="17"/>
      <c r="L119" s="17"/>
      <c r="M119" s="15" t="s">
        <v>53</v>
      </c>
    </row>
    <row r="120" customFormat="false" ht="35.05" hidden="false" customHeight="false" outlineLevel="0" collapsed="false">
      <c r="A120" s="15" t="s">
        <v>471</v>
      </c>
      <c r="B120" s="15" t="s">
        <v>396</v>
      </c>
      <c r="C120" s="15" t="s">
        <v>467</v>
      </c>
      <c r="D120" s="15" t="s">
        <v>468</v>
      </c>
      <c r="E120" s="15" t="s">
        <v>472</v>
      </c>
      <c r="F120" s="15" t="s">
        <v>398</v>
      </c>
      <c r="G120" s="16" t="s">
        <v>473</v>
      </c>
      <c r="H120" s="17"/>
      <c r="I120" s="17"/>
      <c r="J120" s="17"/>
      <c r="K120" s="17"/>
      <c r="L120" s="17"/>
      <c r="M120" s="15" t="s">
        <v>53</v>
      </c>
    </row>
    <row r="121" customFormat="false" ht="23.85" hidden="false" customHeight="false" outlineLevel="0" collapsed="false">
      <c r="A121" s="15" t="s">
        <v>474</v>
      </c>
      <c r="B121" s="15" t="s">
        <v>396</v>
      </c>
      <c r="C121" s="15" t="s">
        <v>467</v>
      </c>
      <c r="D121" s="15" t="s">
        <v>468</v>
      </c>
      <c r="E121" s="15" t="s">
        <v>475</v>
      </c>
      <c r="F121" s="15" t="s">
        <v>427</v>
      </c>
      <c r="G121" s="16" t="s">
        <v>476</v>
      </c>
      <c r="H121" s="17"/>
      <c r="I121" s="17"/>
      <c r="J121" s="17"/>
      <c r="K121" s="17"/>
      <c r="L121" s="17"/>
      <c r="M121" s="15" t="s">
        <v>53</v>
      </c>
    </row>
    <row r="122" customFormat="false" ht="35.05" hidden="false" customHeight="false" outlineLevel="0" collapsed="false">
      <c r="A122" s="15" t="s">
        <v>477</v>
      </c>
      <c r="B122" s="15" t="s">
        <v>390</v>
      </c>
      <c r="C122" s="15" t="s">
        <v>478</v>
      </c>
      <c r="D122" s="15" t="s">
        <v>141</v>
      </c>
      <c r="E122" s="15" t="s">
        <v>479</v>
      </c>
      <c r="F122" s="15" t="s">
        <v>393</v>
      </c>
      <c r="G122" s="16" t="s">
        <v>480</v>
      </c>
      <c r="H122" s="17"/>
      <c r="I122" s="17"/>
      <c r="J122" s="17"/>
      <c r="K122" s="17"/>
      <c r="L122" s="17"/>
      <c r="M122" s="15" t="s">
        <v>53</v>
      </c>
    </row>
    <row r="123" customFormat="false" ht="35.05" hidden="false" customHeight="false" outlineLevel="0" collapsed="false">
      <c r="A123" s="15" t="s">
        <v>481</v>
      </c>
      <c r="B123" s="15" t="s">
        <v>396</v>
      </c>
      <c r="C123" s="15" t="s">
        <v>478</v>
      </c>
      <c r="D123" s="15" t="s">
        <v>141</v>
      </c>
      <c r="E123" s="15" t="s">
        <v>482</v>
      </c>
      <c r="F123" s="15" t="s">
        <v>398</v>
      </c>
      <c r="G123" s="16" t="s">
        <v>483</v>
      </c>
      <c r="H123" s="17"/>
      <c r="I123" s="17"/>
      <c r="J123" s="17"/>
      <c r="K123" s="17"/>
      <c r="L123" s="17"/>
      <c r="M123" s="15" t="s">
        <v>53</v>
      </c>
    </row>
    <row r="124" customFormat="false" ht="35.05" hidden="false" customHeight="false" outlineLevel="0" collapsed="false">
      <c r="A124" s="15" t="s">
        <v>484</v>
      </c>
      <c r="B124" s="15" t="s">
        <v>396</v>
      </c>
      <c r="C124" s="15" t="s">
        <v>478</v>
      </c>
      <c r="D124" s="15" t="s">
        <v>141</v>
      </c>
      <c r="E124" s="15" t="s">
        <v>485</v>
      </c>
      <c r="F124" s="15" t="s">
        <v>486</v>
      </c>
      <c r="G124" s="16" t="s">
        <v>487</v>
      </c>
      <c r="H124" s="17"/>
      <c r="I124" s="17"/>
      <c r="J124" s="17"/>
      <c r="K124" s="17"/>
      <c r="L124" s="17"/>
      <c r="M124" s="15" t="s">
        <v>53</v>
      </c>
    </row>
    <row r="125" customFormat="false" ht="35.05" hidden="false" customHeight="false" outlineLevel="0" collapsed="false">
      <c r="A125" s="15" t="s">
        <v>488</v>
      </c>
      <c r="B125" s="15" t="s">
        <v>396</v>
      </c>
      <c r="C125" s="15" t="s">
        <v>478</v>
      </c>
      <c r="D125" s="15" t="s">
        <v>141</v>
      </c>
      <c r="E125" s="15" t="s">
        <v>489</v>
      </c>
      <c r="F125" s="15" t="s">
        <v>490</v>
      </c>
      <c r="G125" s="16" t="s">
        <v>491</v>
      </c>
      <c r="H125" s="17"/>
      <c r="I125" s="17"/>
      <c r="J125" s="17"/>
      <c r="K125" s="17"/>
      <c r="L125" s="17"/>
      <c r="M125" s="15" t="s">
        <v>53</v>
      </c>
    </row>
    <row r="126" customFormat="false" ht="15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9"/>
      <c r="I126" s="19"/>
      <c r="J126" s="19"/>
      <c r="K126" s="19"/>
      <c r="L126" s="19"/>
      <c r="M126" s="18"/>
    </row>
    <row r="127" customFormat="false" ht="15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9"/>
      <c r="I127" s="19"/>
      <c r="J127" s="19"/>
      <c r="K127" s="19"/>
      <c r="L127" s="19"/>
      <c r="M127" s="18"/>
    </row>
    <row r="128" customFormat="false" ht="15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9"/>
      <c r="I128" s="19"/>
      <c r="J128" s="19"/>
      <c r="K128" s="19"/>
      <c r="L128" s="19"/>
      <c r="M128" s="18"/>
    </row>
    <row r="129" customFormat="false" ht="15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9"/>
      <c r="I129" s="19"/>
      <c r="J129" s="19"/>
      <c r="K129" s="19"/>
      <c r="L129" s="19"/>
      <c r="M129" s="18"/>
    </row>
    <row r="130" customFormat="false" ht="15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9"/>
      <c r="I130" s="19"/>
      <c r="J130" s="19"/>
      <c r="K130" s="19"/>
      <c r="L130" s="19"/>
      <c r="M130" s="18"/>
    </row>
    <row r="131" customFormat="false" ht="1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9"/>
      <c r="I131" s="19"/>
      <c r="J131" s="19"/>
      <c r="K131" s="19"/>
      <c r="L131" s="19"/>
      <c r="M131" s="18"/>
    </row>
    <row r="132" customFormat="false" ht="1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9"/>
      <c r="I132" s="19"/>
      <c r="J132" s="19"/>
      <c r="K132" s="19"/>
      <c r="L132" s="19"/>
      <c r="M132" s="18"/>
    </row>
    <row r="133" customFormat="false" ht="1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9"/>
      <c r="I133" s="19"/>
      <c r="J133" s="19"/>
      <c r="K133" s="19"/>
      <c r="L133" s="19"/>
      <c r="M133" s="18"/>
    </row>
    <row r="134" customFormat="false" ht="1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9"/>
      <c r="I134" s="19"/>
      <c r="J134" s="19"/>
      <c r="K134" s="19"/>
      <c r="L134" s="19"/>
      <c r="M134" s="18"/>
    </row>
    <row r="135" customFormat="false" ht="1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9"/>
      <c r="I135" s="19"/>
      <c r="J135" s="19"/>
      <c r="K135" s="19"/>
      <c r="L135" s="19"/>
      <c r="M135" s="18"/>
    </row>
    <row r="136" customFormat="false" ht="1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9"/>
      <c r="I136" s="19"/>
      <c r="J136" s="19"/>
      <c r="K136" s="19"/>
      <c r="L136" s="19"/>
      <c r="M136" s="18"/>
    </row>
    <row r="137" customFormat="false" ht="1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9"/>
      <c r="I137" s="19"/>
      <c r="J137" s="19"/>
      <c r="K137" s="19"/>
      <c r="L137" s="19"/>
      <c r="M137" s="18"/>
    </row>
    <row r="138" customFormat="false" ht="1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9"/>
      <c r="I138" s="19"/>
      <c r="J138" s="19"/>
      <c r="K138" s="19"/>
      <c r="L138" s="19"/>
      <c r="M138" s="18"/>
    </row>
    <row r="139" customFormat="false" ht="1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9"/>
      <c r="I139" s="19"/>
      <c r="J139" s="19"/>
      <c r="K139" s="19"/>
      <c r="L139" s="19"/>
      <c r="M139" s="18"/>
    </row>
    <row r="140" customFormat="false" ht="1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9"/>
      <c r="I140" s="19"/>
      <c r="J140" s="19"/>
      <c r="K140" s="19"/>
      <c r="L140" s="19"/>
      <c r="M140" s="18"/>
    </row>
    <row r="141" customFormat="false" ht="1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9"/>
      <c r="I141" s="19"/>
      <c r="J141" s="19"/>
      <c r="K141" s="19"/>
      <c r="L141" s="19"/>
      <c r="M141" s="18"/>
    </row>
    <row r="142" customFormat="false" ht="1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9"/>
      <c r="I142" s="19"/>
      <c r="J142" s="19"/>
      <c r="K142" s="19"/>
      <c r="L142" s="19"/>
      <c r="M142" s="18"/>
    </row>
    <row r="143" customFormat="false" ht="1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9"/>
      <c r="I143" s="19"/>
      <c r="J143" s="19"/>
      <c r="K143" s="19"/>
      <c r="L143" s="19"/>
      <c r="M143" s="18"/>
    </row>
    <row r="144" customFormat="false" ht="1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9"/>
      <c r="I144" s="19"/>
      <c r="J144" s="19"/>
      <c r="K144" s="19"/>
      <c r="L144" s="19"/>
      <c r="M144" s="18"/>
    </row>
    <row r="145" customFormat="false" ht="1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9"/>
      <c r="I145" s="19"/>
      <c r="J145" s="19"/>
      <c r="K145" s="19"/>
      <c r="L145" s="19"/>
      <c r="M145" s="18"/>
    </row>
    <row r="146" customFormat="false" ht="1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9"/>
      <c r="I146" s="19"/>
      <c r="J146" s="19"/>
      <c r="K146" s="19"/>
      <c r="L146" s="19"/>
      <c r="M146" s="18"/>
    </row>
    <row r="147" customFormat="false" ht="1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9"/>
      <c r="I147" s="19"/>
      <c r="J147" s="19"/>
      <c r="K147" s="19"/>
      <c r="L147" s="19"/>
      <c r="M147" s="18"/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9"/>
      <c r="I148" s="19"/>
      <c r="J148" s="19"/>
      <c r="K148" s="19"/>
      <c r="L148" s="19"/>
      <c r="M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9"/>
      <c r="I149" s="19"/>
      <c r="J149" s="19"/>
      <c r="K149" s="19"/>
      <c r="L149" s="19"/>
      <c r="M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9"/>
      <c r="I150" s="19"/>
      <c r="J150" s="19"/>
      <c r="K150" s="19"/>
      <c r="L150" s="19"/>
      <c r="M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9"/>
      <c r="I151" s="19"/>
      <c r="J151" s="19"/>
      <c r="K151" s="19"/>
      <c r="L151" s="19"/>
      <c r="M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9"/>
      <c r="I152" s="19"/>
      <c r="J152" s="19"/>
      <c r="K152" s="19"/>
      <c r="L152" s="19"/>
      <c r="M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9"/>
      <c r="I153" s="19"/>
      <c r="J153" s="19"/>
      <c r="K153" s="19"/>
      <c r="L153" s="19"/>
      <c r="M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9"/>
      <c r="I154" s="19"/>
      <c r="J154" s="19"/>
      <c r="K154" s="19"/>
      <c r="L154" s="19"/>
      <c r="M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9"/>
      <c r="I155" s="19"/>
      <c r="J155" s="19"/>
      <c r="K155" s="19"/>
      <c r="L155" s="19"/>
      <c r="M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9"/>
      <c r="I156" s="19"/>
      <c r="J156" s="19"/>
      <c r="K156" s="19"/>
      <c r="L156" s="19"/>
      <c r="M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9"/>
      <c r="I157" s="19"/>
      <c r="J157" s="19"/>
      <c r="K157" s="19"/>
      <c r="L157" s="19"/>
      <c r="M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9"/>
      <c r="I158" s="19"/>
      <c r="J158" s="19"/>
      <c r="K158" s="19"/>
      <c r="L158" s="19"/>
      <c r="M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9"/>
      <c r="I159" s="19"/>
      <c r="J159" s="19"/>
      <c r="K159" s="19"/>
      <c r="L159" s="19"/>
      <c r="M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9"/>
      <c r="I160" s="19"/>
      <c r="J160" s="19"/>
      <c r="K160" s="19"/>
      <c r="L160" s="19"/>
      <c r="M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9"/>
      <c r="I161" s="19"/>
      <c r="J161" s="19"/>
      <c r="K161" s="19"/>
      <c r="L161" s="19"/>
      <c r="M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9"/>
      <c r="I162" s="19"/>
      <c r="J162" s="19"/>
      <c r="K162" s="19"/>
      <c r="L162" s="19"/>
      <c r="M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9"/>
      <c r="I163" s="19"/>
      <c r="J163" s="19"/>
      <c r="K163" s="19"/>
      <c r="L163" s="19"/>
      <c r="M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9"/>
      <c r="I164" s="19"/>
      <c r="J164" s="19"/>
      <c r="K164" s="19"/>
      <c r="L164" s="19"/>
      <c r="M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9"/>
      <c r="I165" s="19"/>
      <c r="J165" s="19"/>
      <c r="K165" s="19"/>
      <c r="L165" s="19"/>
      <c r="M165" s="18"/>
    </row>
  </sheetData>
  <autoFilter ref="A1:M165"/>
  <conditionalFormatting sqref="H2:H165">
    <cfRule type="expression" priority="2" aboveAverage="0" equalAverage="0" bottom="0" percent="0" rank="0" text="" dxfId="6">
      <formula>H2="passt"</formula>
    </cfRule>
    <cfRule type="expression" priority="3" aboveAverage="0" equalAverage="0" bottom="0" percent="0" rank="0" text="" dxfId="7">
      <formula>OR(H2="ändern",H2="streichen")</formula>
    </cfRule>
  </conditionalFormatting>
  <conditionalFormatting sqref="J2:J165">
    <cfRule type="expression" priority="4" aboveAverage="0" equalAverage="0" bottom="0" percent="0" rank="0" text="" dxfId="6">
      <formula>J2="passt"</formula>
    </cfRule>
    <cfRule type="expression" priority="5" aboveAverage="0" equalAverage="0" bottom="0" percent="0" rank="0" text="" dxfId="7">
      <formula>OR(J2="ändern",J2="streichen")</formula>
    </cfRule>
  </conditionalFormatting>
  <dataValidations count="1">
    <dataValidation allowBlank="true" errorStyle="stop" operator="between" showDropDown="false" showErrorMessage="false" showInputMessage="false" sqref="H2:H165 J2:J165" type="list">
      <formula1>"passt,ändern,streichen,unklar"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2026-10-27T15:51:08Z</dcterms:created>
  <dc:creator>openpyxl</dc:creator>
  <dc:description/>
  <dc:language>en-US</dc:language>
  <cp:lastModifiedBy/>
  <dcterms:modified xsi:type="dcterms:W3CDTF">2026-10-27T15:51:08Z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